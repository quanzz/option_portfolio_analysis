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21495" windowHeight="10245"/>
  </bookViews>
  <sheets>
    <sheet name="期权分析表" sheetId="4" r:id="rId1"/>
    <sheet name="Gamma Scalping" sheetId="6" r:id="rId2"/>
  </sheets>
  <functionGroups/>
  <calcPr calcId="125725"/>
</workbook>
</file>

<file path=xl/calcChain.xml><?xml version="1.0" encoding="utf-8"?>
<calcChain xmlns="http://schemas.openxmlformats.org/spreadsheetml/2006/main">
  <c r="C19" i="4"/>
  <c r="D19"/>
  <c r="E19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B9"/>
  <c r="B19"/>
  <c r="K7" i="6" l="1"/>
  <c r="B8" l="1"/>
  <c r="B9"/>
  <c r="B10"/>
  <c r="B11"/>
  <c r="B12"/>
  <c r="B7"/>
  <c r="F12"/>
  <c r="D12"/>
  <c r="D10"/>
  <c r="D8"/>
  <c r="F11"/>
  <c r="D11"/>
  <c r="H8"/>
  <c r="H11"/>
  <c r="H9"/>
  <c r="H7"/>
  <c r="G11"/>
  <c r="G9"/>
  <c r="G7"/>
  <c r="F9"/>
  <c r="D9"/>
  <c r="H12"/>
  <c r="G12"/>
  <c r="G10"/>
  <c r="G8"/>
  <c r="F10"/>
  <c r="F8"/>
  <c r="F7"/>
  <c r="D7"/>
  <c r="H10"/>
  <c r="M8" l="1"/>
  <c r="M9"/>
  <c r="M10" s="1"/>
  <c r="M11" s="1"/>
  <c r="M12" s="1"/>
  <c r="I9"/>
  <c r="J10" s="1"/>
  <c r="I10"/>
  <c r="I11"/>
  <c r="J12" s="1"/>
  <c r="I12"/>
  <c r="I7"/>
  <c r="J8" s="1"/>
  <c r="N8" s="1"/>
  <c r="N9" s="1"/>
  <c r="I8"/>
  <c r="J9" s="1"/>
  <c r="E8"/>
  <c r="E9"/>
  <c r="J11"/>
  <c r="E10"/>
  <c r="E11"/>
  <c r="E12"/>
  <c r="L7"/>
  <c r="N10" l="1"/>
  <c r="N11" s="1"/>
  <c r="N12" s="1"/>
  <c r="K8"/>
  <c r="L8" s="1"/>
  <c r="K12"/>
  <c r="K9"/>
  <c r="K11"/>
  <c r="K10"/>
  <c r="L9" l="1"/>
  <c r="L10" s="1"/>
  <c r="L11" s="1"/>
  <c r="L12" s="1"/>
  <c r="B16" i="4"/>
  <c r="B24"/>
  <c r="B41"/>
  <c r="B40"/>
  <c r="B39"/>
  <c r="B38"/>
  <c r="B37"/>
  <c r="B36"/>
  <c r="B35"/>
  <c r="B34"/>
  <c r="B33"/>
  <c r="B32"/>
  <c r="B31"/>
  <c r="B30"/>
  <c r="B29"/>
  <c r="B28"/>
  <c r="B27"/>
  <c r="B26"/>
  <c r="B25"/>
  <c r="B85"/>
  <c r="B52"/>
  <c r="B61"/>
  <c r="B117"/>
  <c r="B80"/>
  <c r="B120"/>
  <c r="B122"/>
  <c r="B101"/>
  <c r="B60"/>
  <c r="B125"/>
  <c r="B82"/>
  <c r="B81"/>
  <c r="B83"/>
  <c r="B112"/>
  <c r="B99"/>
  <c r="B103"/>
  <c r="B46"/>
  <c r="B51"/>
  <c r="B50"/>
  <c r="B107"/>
  <c r="B113"/>
  <c r="B115"/>
  <c r="B90"/>
  <c r="B75"/>
  <c r="B114"/>
  <c r="B123"/>
  <c r="B129"/>
  <c r="B98"/>
  <c r="B55"/>
  <c r="B128"/>
  <c r="B106"/>
  <c r="B126"/>
  <c r="B74"/>
  <c r="B94"/>
  <c r="B69"/>
  <c r="B57"/>
  <c r="B78"/>
  <c r="B118"/>
  <c r="B76"/>
  <c r="B102"/>
  <c r="B63"/>
  <c r="B77"/>
  <c r="B105"/>
  <c r="B53"/>
  <c r="B72"/>
  <c r="B127"/>
  <c r="B93"/>
  <c r="B73"/>
  <c r="B121"/>
  <c r="B96"/>
  <c r="B116"/>
  <c r="B91"/>
  <c r="B84"/>
  <c r="B56"/>
  <c r="B104"/>
  <c r="B124"/>
  <c r="B71"/>
  <c r="B48"/>
  <c r="B92"/>
  <c r="B49"/>
  <c r="B70"/>
  <c r="B79"/>
  <c r="B100"/>
  <c r="B59"/>
  <c r="B54"/>
  <c r="B47"/>
  <c r="B58"/>
  <c r="B68"/>
  <c r="B62"/>
  <c r="B97"/>
  <c r="B119"/>
  <c r="B95"/>
  <c r="C16" l="1"/>
  <c r="D16"/>
  <c r="E16"/>
  <c r="E97"/>
  <c r="E61"/>
  <c r="E90"/>
  <c r="E79"/>
  <c r="E100"/>
  <c r="E127"/>
  <c r="E102"/>
  <c r="E121"/>
  <c r="E51"/>
  <c r="E81"/>
  <c r="E75"/>
  <c r="E115"/>
  <c r="E62"/>
  <c r="E114"/>
  <c r="E71"/>
  <c r="E76"/>
  <c r="E122"/>
  <c r="E84"/>
  <c r="E91"/>
  <c r="E72"/>
  <c r="E74"/>
  <c r="E105"/>
  <c r="E98"/>
  <c r="E53"/>
  <c r="E46"/>
  <c r="E73"/>
  <c r="E48"/>
  <c r="E129"/>
  <c r="E106"/>
  <c r="E54"/>
  <c r="E56"/>
  <c r="E125"/>
  <c r="E93"/>
  <c r="E83"/>
  <c r="E123"/>
  <c r="E126"/>
  <c r="E95"/>
  <c r="E69"/>
  <c r="E104"/>
  <c r="E58"/>
  <c r="E77"/>
  <c r="E99"/>
  <c r="E96"/>
  <c r="E70"/>
  <c r="E80"/>
  <c r="E55"/>
  <c r="E82"/>
  <c r="E49"/>
  <c r="E85"/>
  <c r="E107"/>
  <c r="E50"/>
  <c r="E78"/>
  <c r="E117"/>
  <c r="E92"/>
  <c r="E63"/>
  <c r="E119"/>
  <c r="E94"/>
  <c r="E57"/>
  <c r="E113"/>
  <c r="E112"/>
  <c r="E59"/>
  <c r="E52"/>
  <c r="E118"/>
  <c r="E120"/>
  <c r="E60"/>
  <c r="E116"/>
  <c r="E101"/>
  <c r="E128"/>
  <c r="E68"/>
  <c r="E124"/>
  <c r="E47"/>
  <c r="E103"/>
  <c r="D58"/>
  <c r="D120"/>
  <c r="D52"/>
  <c r="D81"/>
  <c r="D128"/>
  <c r="D113"/>
  <c r="D77"/>
  <c r="D102"/>
  <c r="D59"/>
  <c r="D115"/>
  <c r="D60"/>
  <c r="D116"/>
  <c r="D54"/>
  <c r="D93"/>
  <c r="D84"/>
  <c r="D74"/>
  <c r="D121"/>
  <c r="D96"/>
  <c r="D123"/>
  <c r="D125"/>
  <c r="D124"/>
  <c r="D63"/>
  <c r="D62"/>
  <c r="D118"/>
  <c r="D101"/>
  <c r="D82"/>
  <c r="D129"/>
  <c r="D94"/>
  <c r="D75"/>
  <c r="D91"/>
  <c r="D114"/>
  <c r="D78"/>
  <c r="D83"/>
  <c r="D69"/>
  <c r="D71"/>
  <c r="D70"/>
  <c r="D126"/>
  <c r="D47"/>
  <c r="D85"/>
  <c r="D107"/>
  <c r="D119"/>
  <c r="D76"/>
  <c r="D90"/>
  <c r="D117"/>
  <c r="D68"/>
  <c r="D80"/>
  <c r="D48"/>
  <c r="D95"/>
  <c r="D97"/>
  <c r="D61"/>
  <c r="D55"/>
  <c r="D104"/>
  <c r="D98"/>
  <c r="D79"/>
  <c r="D50"/>
  <c r="D92"/>
  <c r="D127"/>
  <c r="D56"/>
  <c r="D112"/>
  <c r="D103"/>
  <c r="D105"/>
  <c r="D106"/>
  <c r="D99"/>
  <c r="D100"/>
  <c r="D73"/>
  <c r="D49"/>
  <c r="D51"/>
  <c r="D53"/>
  <c r="D46"/>
  <c r="D57"/>
  <c r="D122"/>
  <c r="D72"/>
  <c r="C105"/>
  <c r="C124"/>
  <c r="C99"/>
  <c r="C119"/>
  <c r="C80"/>
  <c r="C120"/>
  <c r="C129"/>
  <c r="C127"/>
  <c r="C70"/>
  <c r="C53"/>
  <c r="C55"/>
  <c r="C114"/>
  <c r="C92"/>
  <c r="C128"/>
  <c r="C75"/>
  <c r="C68"/>
  <c r="C74"/>
  <c r="C84"/>
  <c r="C101"/>
  <c r="C46"/>
  <c r="C95"/>
  <c r="C50"/>
  <c r="C58"/>
  <c r="C49"/>
  <c r="C60"/>
  <c r="C72"/>
  <c r="C112"/>
  <c r="C121"/>
  <c r="C51"/>
  <c r="C59"/>
  <c r="C115"/>
  <c r="C117"/>
  <c r="C81"/>
  <c r="C78"/>
  <c r="C104"/>
  <c r="C100"/>
  <c r="C83"/>
  <c r="C71"/>
  <c r="C90"/>
  <c r="C73"/>
  <c r="C82"/>
  <c r="C79"/>
  <c r="C56"/>
  <c r="C123"/>
  <c r="C69"/>
  <c r="C91"/>
  <c r="C122"/>
  <c r="C98"/>
  <c r="C54"/>
  <c r="C93"/>
  <c r="C76"/>
  <c r="C94"/>
  <c r="C103"/>
  <c r="C107"/>
  <c r="C96"/>
  <c r="C106"/>
  <c r="C62"/>
  <c r="C118"/>
  <c r="C47"/>
  <c r="C102"/>
  <c r="C77"/>
  <c r="C85"/>
  <c r="C61"/>
  <c r="C52"/>
  <c r="C125"/>
  <c r="C126"/>
  <c r="C63"/>
  <c r="C48"/>
  <c r="C57"/>
  <c r="C113"/>
  <c r="C116"/>
  <c r="C97"/>
  <c r="F112" l="1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39" l="1"/>
  <c r="F28"/>
  <c r="F29"/>
  <c r="F40"/>
  <c r="F31"/>
  <c r="F30"/>
  <c r="F32"/>
  <c r="F24"/>
  <c r="F35"/>
  <c r="F25"/>
  <c r="F41"/>
  <c r="F33"/>
  <c r="F37"/>
  <c r="F34"/>
  <c r="F38"/>
  <c r="F26"/>
  <c r="F36"/>
  <c r="F27"/>
</calcChain>
</file>

<file path=xl/sharedStrings.xml><?xml version="1.0" encoding="utf-8"?>
<sst xmlns="http://schemas.openxmlformats.org/spreadsheetml/2006/main" count="87" uniqueCount="56">
  <si>
    <t>价格</t>
    <phoneticPr fontId="18" type="noConversion"/>
  </si>
  <si>
    <t>Leg1</t>
    <phoneticPr fontId="18" type="noConversion"/>
  </si>
  <si>
    <t>Leg2</t>
    <phoneticPr fontId="18" type="noConversion"/>
  </si>
  <si>
    <t>Leg3</t>
    <phoneticPr fontId="18" type="noConversion"/>
  </si>
  <si>
    <t>Leg4</t>
    <phoneticPr fontId="18" type="noConversion"/>
  </si>
  <si>
    <t>C</t>
    <phoneticPr fontId="18" type="noConversion"/>
  </si>
  <si>
    <t>利率（r）</t>
    <phoneticPr fontId="18" type="noConversion"/>
  </si>
  <si>
    <t>期权类型（type）</t>
    <phoneticPr fontId="18" type="noConversion"/>
  </si>
  <si>
    <t>行权价（X)</t>
    <phoneticPr fontId="18" type="noConversion"/>
  </si>
  <si>
    <t>到期日剩余（Days)</t>
    <phoneticPr fontId="18" type="noConversion"/>
  </si>
  <si>
    <t>到期时间（T）</t>
    <phoneticPr fontId="18" type="noConversion"/>
  </si>
  <si>
    <t>分红率（d）</t>
    <phoneticPr fontId="18" type="noConversion"/>
  </si>
  <si>
    <t>标的价格</t>
    <phoneticPr fontId="18" type="noConversion"/>
  </si>
  <si>
    <t>波动率（v）</t>
    <phoneticPr fontId="18" type="noConversion"/>
  </si>
  <si>
    <t>P</t>
    <phoneticPr fontId="18" type="noConversion"/>
  </si>
  <si>
    <t>持仓（pos）</t>
    <phoneticPr fontId="18" type="noConversion"/>
  </si>
  <si>
    <t>Portfolio</t>
    <phoneticPr fontId="18" type="noConversion"/>
  </si>
  <si>
    <t>列1</t>
  </si>
  <si>
    <t>Delta变动情况</t>
    <phoneticPr fontId="18" type="noConversion"/>
  </si>
  <si>
    <t>Gamma变动情况</t>
    <phoneticPr fontId="18" type="noConversion"/>
  </si>
  <si>
    <t>Theta变动情况</t>
    <phoneticPr fontId="18" type="noConversion"/>
  </si>
  <si>
    <t>Vega变动情况</t>
    <phoneticPr fontId="18" type="noConversion"/>
  </si>
  <si>
    <t>期权腿设置</t>
    <phoneticPr fontId="18" type="noConversion"/>
  </si>
  <si>
    <t>通用设置</t>
    <phoneticPr fontId="18" type="noConversion"/>
  </si>
  <si>
    <t>Delta</t>
    <phoneticPr fontId="18" type="noConversion"/>
  </si>
  <si>
    <t>Gamma</t>
    <phoneticPr fontId="18" type="noConversion"/>
  </si>
  <si>
    <t>Theta</t>
    <phoneticPr fontId="18" type="noConversion"/>
  </si>
  <si>
    <t>标的价格</t>
    <phoneticPr fontId="18" type="noConversion"/>
  </si>
  <si>
    <t>剩余日</t>
    <phoneticPr fontId="18" type="noConversion"/>
  </si>
  <si>
    <t>剩余时间</t>
    <phoneticPr fontId="18" type="noConversion"/>
  </si>
  <si>
    <t>对冲盈亏</t>
    <phoneticPr fontId="18" type="noConversion"/>
  </si>
  <si>
    <t>对冲持仓</t>
    <phoneticPr fontId="18" type="noConversion"/>
  </si>
  <si>
    <t>总盈亏</t>
    <phoneticPr fontId="18" type="noConversion"/>
  </si>
  <si>
    <t>累计盈亏</t>
    <phoneticPr fontId="18" type="noConversion"/>
  </si>
  <si>
    <t>v</t>
    <phoneticPr fontId="18" type="noConversion"/>
  </si>
  <si>
    <t>利率</t>
    <phoneticPr fontId="18" type="noConversion"/>
  </si>
  <si>
    <t>r</t>
    <phoneticPr fontId="18" type="noConversion"/>
  </si>
  <si>
    <t>股息率</t>
    <phoneticPr fontId="18" type="noConversion"/>
  </si>
  <si>
    <t>d</t>
    <phoneticPr fontId="18" type="noConversion"/>
  </si>
  <si>
    <t>行权价</t>
    <phoneticPr fontId="18" type="noConversion"/>
  </si>
  <si>
    <t>X</t>
    <phoneticPr fontId="18" type="noConversion"/>
  </si>
  <si>
    <t>隐含波动率</t>
    <phoneticPr fontId="18" type="noConversion"/>
  </si>
  <si>
    <t>1. 对冲持仓 = - Delta</t>
    <phoneticPr fontId="18" type="noConversion"/>
  </si>
  <si>
    <t>2. 对冲盈亏 = (昨日对冲持仓）*（今日价格-昨日价格）</t>
    <phoneticPr fontId="18" type="noConversion"/>
  </si>
  <si>
    <t>4. 总盈亏 = 期权盈亏 + 对冲盈亏</t>
    <phoneticPr fontId="18" type="noConversion"/>
  </si>
  <si>
    <t>3. 期权盈亏 = 今日组合价值 - 昨日组合价值</t>
    <phoneticPr fontId="18" type="noConversion"/>
  </si>
  <si>
    <t>期权价值</t>
    <phoneticPr fontId="18" type="noConversion"/>
  </si>
  <si>
    <t>期权盈亏</t>
    <phoneticPr fontId="18" type="noConversion"/>
  </si>
  <si>
    <t>5. 期权价值 = 看涨期权价值 + 看跌期权价值</t>
    <phoneticPr fontId="18" type="noConversion"/>
  </si>
  <si>
    <t>累计对冲盈亏</t>
    <phoneticPr fontId="18" type="noConversion"/>
  </si>
  <si>
    <t>累计Theta损失</t>
    <phoneticPr fontId="18" type="noConversion"/>
  </si>
  <si>
    <t>建仓价格</t>
    <phoneticPr fontId="18" type="noConversion"/>
  </si>
  <si>
    <t>建仓日剩余</t>
    <phoneticPr fontId="18" type="noConversion"/>
  </si>
  <si>
    <t>建仓时间（T）</t>
    <phoneticPr fontId="18" type="noConversion"/>
  </si>
  <si>
    <t>建仓成本</t>
    <phoneticPr fontId="18" type="noConversion"/>
  </si>
  <si>
    <t>持仓盈亏变动情况</t>
    <phoneticPr fontId="18" type="noConversion"/>
  </si>
</sst>
</file>

<file path=xl/styles.xml><?xml version="1.0" encoding="utf-8"?>
<styleSheet xmlns="http://schemas.openxmlformats.org/spreadsheetml/2006/main">
  <numFmts count="4">
    <numFmt numFmtId="176" formatCode="0.000_ "/>
    <numFmt numFmtId="177" formatCode="0.0000_ "/>
    <numFmt numFmtId="178" formatCode="0_);[Red]\(0\)"/>
    <numFmt numFmtId="183" formatCode="0.0000_);[Red]\(0.0000\)"/>
  </numFmts>
  <fonts count="26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u/>
      <sz val="16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6"/>
      <color theme="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19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9" fontId="20" fillId="0" borderId="0" xfId="42" applyFont="1" applyAlignment="1">
      <alignment horizontal="center" vertical="center"/>
    </xf>
    <xf numFmtId="177" fontId="20" fillId="0" borderId="0" xfId="0" applyNumberFormat="1" applyFont="1" applyAlignment="1">
      <alignment horizontal="center" vertical="center"/>
    </xf>
    <xf numFmtId="0" fontId="19" fillId="9" borderId="0" xfId="18" applyFont="1" applyAlignment="1">
      <alignment horizontal="center" vertical="center"/>
    </xf>
    <xf numFmtId="176" fontId="20" fillId="0" borderId="0" xfId="0" applyNumberFormat="1" applyFont="1" applyAlignment="1">
      <alignment horizontal="center" vertical="center"/>
    </xf>
    <xf numFmtId="0" fontId="22" fillId="13" borderId="0" xfId="22" applyFont="1" applyAlignment="1">
      <alignment horizontal="center" vertical="center"/>
    </xf>
    <xf numFmtId="0" fontId="22" fillId="17" borderId="0" xfId="26" applyFont="1" applyAlignment="1">
      <alignment horizontal="center" vertical="center"/>
    </xf>
    <xf numFmtId="0" fontId="22" fillId="28" borderId="0" xfId="37" applyFont="1" applyAlignment="1">
      <alignment horizontal="center" vertical="center"/>
    </xf>
    <xf numFmtId="0" fontId="22" fillId="21" borderId="0" xfId="3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9" fontId="24" fillId="0" borderId="0" xfId="42" applyFont="1" applyAlignment="1">
      <alignment horizontal="center" vertical="center"/>
    </xf>
    <xf numFmtId="178" fontId="24" fillId="0" borderId="0" xfId="42" applyNumberFormat="1" applyFont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3" fillId="9" borderId="10" xfId="18" applyFont="1" applyBorder="1" applyAlignment="1">
      <alignment horizontal="center" vertical="center"/>
    </xf>
    <xf numFmtId="0" fontId="23" fillId="12" borderId="11" xfId="21" applyFont="1" applyBorder="1" applyAlignment="1">
      <alignment horizontal="center" vertical="center"/>
    </xf>
    <xf numFmtId="9" fontId="25" fillId="0" borderId="12" xfId="42" applyFont="1" applyBorder="1" applyAlignment="1">
      <alignment horizontal="center" vertical="center"/>
    </xf>
    <xf numFmtId="0" fontId="23" fillId="9" borderId="13" xfId="18" applyFont="1" applyBorder="1" applyAlignment="1">
      <alignment horizontal="center" vertical="center"/>
    </xf>
    <xf numFmtId="0" fontId="23" fillId="12" borderId="0" xfId="21" applyFont="1" applyBorder="1" applyAlignment="1">
      <alignment horizontal="center" vertical="center"/>
    </xf>
    <xf numFmtId="9" fontId="25" fillId="0" borderId="14" xfId="42" applyFont="1" applyBorder="1" applyAlignment="1">
      <alignment horizontal="center" vertical="center"/>
    </xf>
    <xf numFmtId="0" fontId="23" fillId="9" borderId="15" xfId="18" applyFont="1" applyBorder="1" applyAlignment="1">
      <alignment horizontal="center" vertical="center"/>
    </xf>
    <xf numFmtId="0" fontId="23" fillId="12" borderId="16" xfId="21" applyFont="1" applyBorder="1" applyAlignment="1">
      <alignment horizontal="center" vertical="center"/>
    </xf>
    <xf numFmtId="178" fontId="25" fillId="0" borderId="17" xfId="42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78" fontId="20" fillId="0" borderId="0" xfId="42" applyNumberFormat="1" applyFont="1" applyBorder="1" applyAlignment="1">
      <alignment horizontal="center" vertical="center"/>
    </xf>
    <xf numFmtId="183" fontId="20" fillId="0" borderId="0" xfId="42" applyNumberFormat="1" applyFont="1" applyBorder="1" applyAlignment="1">
      <alignment horizontal="center" vertical="center"/>
    </xf>
    <xf numFmtId="176" fontId="20" fillId="0" borderId="0" xfId="0" applyNumberFormat="1" applyFont="1" applyBorder="1" applyAlignment="1">
      <alignment horizontal="center" vertical="center"/>
    </xf>
  </cellXfs>
  <cellStyles count="43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百分比" xfId="42" builtinId="5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67"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b/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numFmt numFmtId="176" formatCode="0.000_ 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numFmt numFmtId="176" formatCode="0.000_ 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numFmt numFmtId="176" formatCode="0.000_ 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numFmt numFmtId="176" formatCode="0.000_ 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numFmt numFmtId="176" formatCode="0.000_ 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numFmt numFmtId="176" formatCode="0.000_ 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numFmt numFmtId="176" formatCode="0.000_ 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numFmt numFmtId="176" formatCode="0.000_ 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numFmt numFmtId="176" formatCode="0.000_ 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numFmt numFmtId="176" formatCode="0.000_ 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numFmt numFmtId="176" formatCode="0.000_ 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软雅黑"/>
        <scheme val="none"/>
      </font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b/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numFmt numFmtId="176" formatCode="0.000_ 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vertAlign val="baseline"/>
        <name val="微软雅黑"/>
        <scheme val="none"/>
      </font>
      <alignment horizontal="center" vertical="center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34"/>
  <c:chart>
    <c:title>
      <c:tx>
        <c:rich>
          <a:bodyPr/>
          <a:lstStyle/>
          <a:p>
            <a:pPr>
              <a:defRPr/>
            </a:pPr>
            <a:r>
              <a:rPr lang="zh-CN" altLang="en-US"/>
              <a:t>持仓盈亏</a:t>
            </a:r>
            <a:endParaRPr lang="zh-CN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期权分析表!$B$23</c:f>
              <c:strCache>
                <c:ptCount val="1"/>
                <c:pt idx="0">
                  <c:v>Leg1</c:v>
                </c:pt>
              </c:strCache>
            </c:strRef>
          </c:tx>
          <c:marker>
            <c:symbol val="none"/>
          </c:marker>
          <c:cat>
            <c:numRef>
              <c:f>期权分析表!$A$24:$A$41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期权分析表!$B$24:$B$41</c:f>
              <c:numCache>
                <c:formatCode>0.000_ </c:formatCode>
                <c:ptCount val="18"/>
                <c:pt idx="0">
                  <c:v>-2.3682246427033542</c:v>
                </c:pt>
                <c:pt idx="1">
                  <c:v>-2.3675263142636047</c:v>
                </c:pt>
                <c:pt idx="2">
                  <c:v>-2.363790385210585</c:v>
                </c:pt>
                <c:pt idx="3">
                  <c:v>-2.3482620591351924</c:v>
                </c:pt>
                <c:pt idx="4">
                  <c:v>-2.2971213826534567</c:v>
                </c:pt>
                <c:pt idx="5">
                  <c:v>-2.1610660922351013</c:v>
                </c:pt>
                <c:pt idx="6">
                  <c:v>-1.8629330568541249</c:v>
                </c:pt>
                <c:pt idx="7">
                  <c:v>-1.3139764907427391</c:v>
                </c:pt>
                <c:pt idx="8">
                  <c:v>-0.446546465866831</c:v>
                </c:pt>
                <c:pt idx="9">
                  <c:v>0.75634486319147243</c:v>
                </c:pt>
                <c:pt idx="10">
                  <c:v>2.2554189873008994</c:v>
                </c:pt>
                <c:pt idx="11">
                  <c:v>3.9758112674686004</c:v>
                </c:pt>
                <c:pt idx="12">
                  <c:v>5.8374370337170376</c:v>
                </c:pt>
                <c:pt idx="13">
                  <c:v>7.7766873060071191</c:v>
                </c:pt>
                <c:pt idx="14">
                  <c:v>9.7529758167741392</c:v>
                </c:pt>
                <c:pt idx="15">
                  <c:v>11.744721556873372</c:v>
                </c:pt>
                <c:pt idx="16">
                  <c:v>13.742149118385868</c:v>
                </c:pt>
                <c:pt idx="17">
                  <c:v>15.741428428463152</c:v>
                </c:pt>
              </c:numCache>
            </c:numRef>
          </c:val>
        </c:ser>
        <c:ser>
          <c:idx val="1"/>
          <c:order val="1"/>
          <c:tx>
            <c:strRef>
              <c:f>期权分析表!$C$23</c:f>
              <c:strCache>
                <c:ptCount val="1"/>
                <c:pt idx="0">
                  <c:v>Leg2</c:v>
                </c:pt>
              </c:strCache>
            </c:strRef>
          </c:tx>
          <c:marker>
            <c:symbol val="none"/>
          </c:marker>
          <c:cat>
            <c:numRef>
              <c:f>期权分析表!$A$24:$A$41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期权分析表!$C$24:$C$41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期权分析表!$D$23</c:f>
              <c:strCache>
                <c:ptCount val="1"/>
                <c:pt idx="0">
                  <c:v>Leg3</c:v>
                </c:pt>
              </c:strCache>
            </c:strRef>
          </c:tx>
          <c:marker>
            <c:symbol val="none"/>
          </c:marker>
          <c:cat>
            <c:numRef>
              <c:f>期权分析表!$A$24:$A$41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期权分析表!$D$24:$D$41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期权分析表!$E$23</c:f>
              <c:strCache>
                <c:ptCount val="1"/>
                <c:pt idx="0">
                  <c:v>Leg4</c:v>
                </c:pt>
              </c:strCache>
            </c:strRef>
          </c:tx>
          <c:marker>
            <c:symbol val="none"/>
          </c:marker>
          <c:cat>
            <c:numRef>
              <c:f>期权分析表!$A$24:$A$41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期权分析表!$E$24:$E$41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期权分析表!$F$23</c:f>
              <c:strCache>
                <c:ptCount val="1"/>
                <c:pt idx="0">
                  <c:v>Portfolio</c:v>
                </c:pt>
              </c:strCache>
            </c:strRef>
          </c:tx>
          <c:marker>
            <c:symbol val="none"/>
          </c:marker>
          <c:cat>
            <c:numRef>
              <c:f>期权分析表!$A$24:$A$41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期权分析表!$F$24:$F$41</c:f>
              <c:numCache>
                <c:formatCode>0.000_ </c:formatCode>
                <c:ptCount val="18"/>
                <c:pt idx="0">
                  <c:v>-2.3682246427033542</c:v>
                </c:pt>
                <c:pt idx="1">
                  <c:v>-2.3675263142636047</c:v>
                </c:pt>
                <c:pt idx="2">
                  <c:v>-2.363790385210585</c:v>
                </c:pt>
                <c:pt idx="3">
                  <c:v>-2.3482620591351924</c:v>
                </c:pt>
                <c:pt idx="4">
                  <c:v>-2.2971213826534567</c:v>
                </c:pt>
                <c:pt idx="5">
                  <c:v>-2.1610660922351013</c:v>
                </c:pt>
                <c:pt idx="6">
                  <c:v>-1.8629330568541249</c:v>
                </c:pt>
                <c:pt idx="7">
                  <c:v>-1.3139764907427391</c:v>
                </c:pt>
                <c:pt idx="8">
                  <c:v>-0.446546465866831</c:v>
                </c:pt>
                <c:pt idx="9">
                  <c:v>0.75634486319147243</c:v>
                </c:pt>
                <c:pt idx="10">
                  <c:v>2.2554189873008994</c:v>
                </c:pt>
                <c:pt idx="11">
                  <c:v>3.9758112674686004</c:v>
                </c:pt>
                <c:pt idx="12">
                  <c:v>5.8374370337170376</c:v>
                </c:pt>
                <c:pt idx="13">
                  <c:v>7.7766873060071191</c:v>
                </c:pt>
                <c:pt idx="14">
                  <c:v>9.7529758167741392</c:v>
                </c:pt>
                <c:pt idx="15">
                  <c:v>11.744721556873372</c:v>
                </c:pt>
                <c:pt idx="16">
                  <c:v>13.742149118385868</c:v>
                </c:pt>
                <c:pt idx="17">
                  <c:v>15.741428428463152</c:v>
                </c:pt>
              </c:numCache>
            </c:numRef>
          </c:val>
        </c:ser>
        <c:marker val="1"/>
        <c:axId val="66335488"/>
        <c:axId val="66337024"/>
      </c:lineChart>
      <c:catAx>
        <c:axId val="66335488"/>
        <c:scaling>
          <c:orientation val="minMax"/>
        </c:scaling>
        <c:axPos val="b"/>
        <c:numFmt formatCode="General" sourceLinked="1"/>
        <c:majorTickMark val="none"/>
        <c:tickLblPos val="nextTo"/>
        <c:crossAx val="66337024"/>
        <c:crosses val="autoZero"/>
        <c:auto val="1"/>
        <c:lblAlgn val="ctr"/>
        <c:lblOffset val="100"/>
      </c:catAx>
      <c:valAx>
        <c:axId val="66337024"/>
        <c:scaling>
          <c:orientation val="minMax"/>
        </c:scaling>
        <c:axPos val="l"/>
        <c:majorGridlines/>
        <c:numFmt formatCode="0.000_ " sourceLinked="1"/>
        <c:majorTickMark val="none"/>
        <c:tickLblPos val="nextTo"/>
        <c:crossAx val="66335488"/>
        <c:crosses val="autoZero"/>
        <c:crossBetween val="between"/>
      </c:valAx>
    </c:plotArea>
    <c:legend>
      <c:legendPos val="r"/>
      <c:layout/>
    </c:legend>
    <c:plotVisOnly val="1"/>
  </c:chart>
  <c:txPr>
    <a:bodyPr/>
    <a:lstStyle/>
    <a:p>
      <a:pPr>
        <a:defRPr baseline="0">
          <a:latin typeface="微软雅黑" pitchFamily="34" charset="-122"/>
          <a:ea typeface="微软雅黑" pitchFamily="34" charset="-122"/>
        </a:defRPr>
      </a:pPr>
      <a:endParaRPr lang="zh-CN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Delta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期权分析表!$B$23</c:f>
              <c:strCache>
                <c:ptCount val="1"/>
                <c:pt idx="0">
                  <c:v>Leg1</c:v>
                </c:pt>
              </c:strCache>
            </c:strRef>
          </c:tx>
          <c:marker>
            <c:symbol val="none"/>
          </c:marker>
          <c:cat>
            <c:numRef>
              <c:f>期权分析表!$A$46:$A$63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期权分析表!$B$46:$B$63</c:f>
              <c:numCache>
                <c:formatCode>0.000_ </c:formatCode>
                <c:ptCount val="18"/>
                <c:pt idx="0">
                  <c:v>1.1782392569559264E-4</c:v>
                </c:pt>
                <c:pt idx="1">
                  <c:v>7.4979753273685112E-4</c:v>
                </c:pt>
                <c:pt idx="2">
                  <c:v>3.6405600368658586E-3</c:v>
                </c:pt>
                <c:pt idx="3">
                  <c:v>1.3773247393108812E-2</c:v>
                </c:pt>
                <c:pt idx="4">
                  <c:v>4.1439927881232741E-2</c:v>
                </c:pt>
                <c:pt idx="5">
                  <c:v>0.10118245406657711</c:v>
                </c:pt>
                <c:pt idx="6">
                  <c:v>0.20464556634226283</c:v>
                </c:pt>
                <c:pt idx="7">
                  <c:v>0.35022482432546886</c:v>
                </c:pt>
                <c:pt idx="8">
                  <c:v>0.51867024443567789</c:v>
                </c:pt>
                <c:pt idx="9">
                  <c:v>0.68075131550576462</c:v>
                </c:pt>
                <c:pt idx="10">
                  <c:v>0.81180604321008953</c:v>
                </c:pt>
                <c:pt idx="11">
                  <c:v>0.90172457888722568</c:v>
                </c:pt>
                <c:pt idx="12">
                  <c:v>0.95455342229016782</c:v>
                </c:pt>
                <c:pt idx="13">
                  <c:v>0.98135810219358355</c:v>
                </c:pt>
                <c:pt idx="14">
                  <c:v>0.99319733548237443</c:v>
                </c:pt>
                <c:pt idx="15">
                  <c:v>0.99778347841678028</c:v>
                </c:pt>
                <c:pt idx="16">
                  <c:v>0.99935246311509762</c:v>
                </c:pt>
                <c:pt idx="17">
                  <c:v>0.9998296477929991</c:v>
                </c:pt>
              </c:numCache>
            </c:numRef>
          </c:val>
        </c:ser>
        <c:ser>
          <c:idx val="1"/>
          <c:order val="1"/>
          <c:tx>
            <c:strRef>
              <c:f>期权分析表!$C$23</c:f>
              <c:strCache>
                <c:ptCount val="1"/>
                <c:pt idx="0">
                  <c:v>Leg2</c:v>
                </c:pt>
              </c:strCache>
            </c:strRef>
          </c:tx>
          <c:marker>
            <c:symbol val="none"/>
          </c:marker>
          <c:cat>
            <c:numRef>
              <c:f>期权分析表!$A$46:$A$63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期权分析表!$C$46:$C$63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期权分析表!$D$23</c:f>
              <c:strCache>
                <c:ptCount val="1"/>
                <c:pt idx="0">
                  <c:v>Leg3</c:v>
                </c:pt>
              </c:strCache>
            </c:strRef>
          </c:tx>
          <c:marker>
            <c:symbol val="none"/>
          </c:marker>
          <c:cat>
            <c:numRef>
              <c:f>期权分析表!$A$46:$A$63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期权分析表!$D$46:$D$63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期权分析表!$E$23</c:f>
              <c:strCache>
                <c:ptCount val="1"/>
                <c:pt idx="0">
                  <c:v>Leg4</c:v>
                </c:pt>
              </c:strCache>
            </c:strRef>
          </c:tx>
          <c:marker>
            <c:symbol val="none"/>
          </c:marker>
          <c:cat>
            <c:numRef>
              <c:f>期权分析表!$A$46:$A$63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期权分析表!$E$46:$E$63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期权分析表!$F$23</c:f>
              <c:strCache>
                <c:ptCount val="1"/>
                <c:pt idx="0">
                  <c:v>Portfolio</c:v>
                </c:pt>
              </c:strCache>
            </c:strRef>
          </c:tx>
          <c:marker>
            <c:symbol val="none"/>
          </c:marker>
          <c:cat>
            <c:numRef>
              <c:f>期权分析表!$A$46:$A$63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期权分析表!$F$46:$F$63</c:f>
              <c:numCache>
                <c:formatCode>0.000_ </c:formatCode>
                <c:ptCount val="18"/>
                <c:pt idx="0">
                  <c:v>1.1782392569559264E-4</c:v>
                </c:pt>
                <c:pt idx="1">
                  <c:v>7.4979753273685112E-4</c:v>
                </c:pt>
                <c:pt idx="2">
                  <c:v>3.6405600368658586E-3</c:v>
                </c:pt>
                <c:pt idx="3">
                  <c:v>1.3773247393108812E-2</c:v>
                </c:pt>
                <c:pt idx="4">
                  <c:v>4.1439927881232741E-2</c:v>
                </c:pt>
                <c:pt idx="5">
                  <c:v>0.10118245406657711</c:v>
                </c:pt>
                <c:pt idx="6">
                  <c:v>0.20464556634226283</c:v>
                </c:pt>
                <c:pt idx="7">
                  <c:v>0.35022482432546886</c:v>
                </c:pt>
                <c:pt idx="8">
                  <c:v>0.51867024443567789</c:v>
                </c:pt>
                <c:pt idx="9">
                  <c:v>0.68075131550576462</c:v>
                </c:pt>
                <c:pt idx="10">
                  <c:v>0.81180604321008953</c:v>
                </c:pt>
                <c:pt idx="11">
                  <c:v>0.90172457888722568</c:v>
                </c:pt>
                <c:pt idx="12">
                  <c:v>0.95455342229016782</c:v>
                </c:pt>
                <c:pt idx="13">
                  <c:v>0.98135810219358355</c:v>
                </c:pt>
                <c:pt idx="14">
                  <c:v>0.99319733548237443</c:v>
                </c:pt>
                <c:pt idx="15">
                  <c:v>0.99778347841678028</c:v>
                </c:pt>
                <c:pt idx="16">
                  <c:v>0.99935246311509762</c:v>
                </c:pt>
                <c:pt idx="17">
                  <c:v>0.9998296477929991</c:v>
                </c:pt>
              </c:numCache>
            </c:numRef>
          </c:val>
        </c:ser>
        <c:marker val="1"/>
        <c:axId val="66377216"/>
        <c:axId val="66378752"/>
      </c:lineChart>
      <c:catAx>
        <c:axId val="66377216"/>
        <c:scaling>
          <c:orientation val="minMax"/>
        </c:scaling>
        <c:axPos val="b"/>
        <c:numFmt formatCode="General" sourceLinked="1"/>
        <c:majorTickMark val="none"/>
        <c:tickLblPos val="nextTo"/>
        <c:crossAx val="66378752"/>
        <c:crosses val="autoZero"/>
        <c:auto val="1"/>
        <c:lblAlgn val="ctr"/>
        <c:lblOffset val="100"/>
      </c:catAx>
      <c:valAx>
        <c:axId val="66378752"/>
        <c:scaling>
          <c:orientation val="minMax"/>
        </c:scaling>
        <c:axPos val="l"/>
        <c:majorGridlines/>
        <c:numFmt formatCode="0.000_ " sourceLinked="1"/>
        <c:majorTickMark val="none"/>
        <c:tickLblPos val="nextTo"/>
        <c:crossAx val="66377216"/>
        <c:crosses val="autoZero"/>
        <c:crossBetween val="between"/>
      </c:valAx>
    </c:plotArea>
    <c:legend>
      <c:legendPos val="r"/>
      <c:layout/>
    </c:legend>
    <c:plotVisOnly val="1"/>
  </c:chart>
  <c:txPr>
    <a:bodyPr/>
    <a:lstStyle/>
    <a:p>
      <a:pPr>
        <a:defRPr baseline="0">
          <a:latin typeface="微软雅黑" pitchFamily="34" charset="-122"/>
          <a:ea typeface="微软雅黑" pitchFamily="34" charset="-122"/>
        </a:defRPr>
      </a:pPr>
      <a:endParaRPr lang="zh-CN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Gamma</a:t>
            </a:r>
            <a:endParaRPr lang="zh-CN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期权分析表!$B$23</c:f>
              <c:strCache>
                <c:ptCount val="1"/>
                <c:pt idx="0">
                  <c:v>Leg1</c:v>
                </c:pt>
              </c:strCache>
            </c:strRef>
          </c:tx>
          <c:marker>
            <c:symbol val="none"/>
          </c:marker>
          <c:cat>
            <c:numRef>
              <c:f>期权分析表!$A$68:$A$85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期权分析表!$B$68:$B$85</c:f>
              <c:numCache>
                <c:formatCode>0.000_ </c:formatCode>
                <c:ptCount val="18"/>
                <c:pt idx="0">
                  <c:v>1.1741770019823319E-4</c:v>
                </c:pt>
                <c:pt idx="1">
                  <c:v>6.4174349913066525E-4</c:v>
                </c:pt>
                <c:pt idx="2">
                  <c:v>2.6428625653115807E-3</c:v>
                </c:pt>
                <c:pt idx="3">
                  <c:v>8.3512683468367644E-3</c:v>
                </c:pt>
                <c:pt idx="4">
                  <c:v>2.0589823325465401E-2</c:v>
                </c:pt>
                <c:pt idx="5">
                  <c:v>4.0222655443318177E-2</c:v>
                </c:pt>
                <c:pt idx="6">
                  <c:v>6.3152950671769889E-2</c:v>
                </c:pt>
                <c:pt idx="7">
                  <c:v>8.0750766835671298E-2</c:v>
                </c:pt>
                <c:pt idx="8">
                  <c:v>8.512077427491109E-2</c:v>
                </c:pt>
                <c:pt idx="9">
                  <c:v>7.4814222428364885E-2</c:v>
                </c:pt>
                <c:pt idx="10">
                  <c:v>5.5407399116804687E-2</c:v>
                </c:pt>
                <c:pt idx="11">
                  <c:v>3.4917506706651037E-2</c:v>
                </c:pt>
                <c:pt idx="12">
                  <c:v>1.8896264214021057E-2</c:v>
                </c:pt>
                <c:pt idx="13">
                  <c:v>8.8565414517314065E-3</c:v>
                </c:pt>
                <c:pt idx="14">
                  <c:v>3.6237710099709694E-3</c:v>
                </c:pt>
                <c:pt idx="15">
                  <c:v>1.3040464461629216E-3</c:v>
                </c:pt>
                <c:pt idx="16">
                  <c:v>4.1560500531085569E-4</c:v>
                </c:pt>
                <c:pt idx="17">
                  <c:v>1.1807339877770798E-4</c:v>
                </c:pt>
              </c:numCache>
            </c:numRef>
          </c:val>
        </c:ser>
        <c:ser>
          <c:idx val="1"/>
          <c:order val="1"/>
          <c:tx>
            <c:strRef>
              <c:f>期权分析表!$C$23</c:f>
              <c:strCache>
                <c:ptCount val="1"/>
                <c:pt idx="0">
                  <c:v>Leg2</c:v>
                </c:pt>
              </c:strCache>
            </c:strRef>
          </c:tx>
          <c:marker>
            <c:symbol val="none"/>
          </c:marker>
          <c:cat>
            <c:numRef>
              <c:f>期权分析表!$A$68:$A$85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期权分析表!$C$68:$C$85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期权分析表!$D$23</c:f>
              <c:strCache>
                <c:ptCount val="1"/>
                <c:pt idx="0">
                  <c:v>Leg3</c:v>
                </c:pt>
              </c:strCache>
            </c:strRef>
          </c:tx>
          <c:marker>
            <c:symbol val="none"/>
          </c:marker>
          <c:cat>
            <c:numRef>
              <c:f>期权分析表!$A$68:$A$85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期权分析表!$D$68:$D$85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期权分析表!$E$23</c:f>
              <c:strCache>
                <c:ptCount val="1"/>
                <c:pt idx="0">
                  <c:v>Leg4</c:v>
                </c:pt>
              </c:strCache>
            </c:strRef>
          </c:tx>
          <c:marker>
            <c:symbol val="none"/>
          </c:marker>
          <c:cat>
            <c:numRef>
              <c:f>期权分析表!$A$68:$A$85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期权分析表!$E$68:$E$85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期权分析表!$F$23</c:f>
              <c:strCache>
                <c:ptCount val="1"/>
                <c:pt idx="0">
                  <c:v>Portfolio</c:v>
                </c:pt>
              </c:strCache>
            </c:strRef>
          </c:tx>
          <c:marker>
            <c:symbol val="none"/>
          </c:marker>
          <c:cat>
            <c:numRef>
              <c:f>期权分析表!$A$68:$A$85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期权分析表!$F$68:$F$85</c:f>
              <c:numCache>
                <c:formatCode>0.000_ </c:formatCode>
                <c:ptCount val="18"/>
                <c:pt idx="0">
                  <c:v>1.1741770019823319E-4</c:v>
                </c:pt>
                <c:pt idx="1">
                  <c:v>6.4174349913066525E-4</c:v>
                </c:pt>
                <c:pt idx="2">
                  <c:v>2.6428625653115807E-3</c:v>
                </c:pt>
                <c:pt idx="3">
                  <c:v>8.3512683468367644E-3</c:v>
                </c:pt>
                <c:pt idx="4">
                  <c:v>2.0589823325465401E-2</c:v>
                </c:pt>
                <c:pt idx="5">
                  <c:v>4.0222655443318177E-2</c:v>
                </c:pt>
                <c:pt idx="6">
                  <c:v>6.3152950671769889E-2</c:v>
                </c:pt>
                <c:pt idx="7">
                  <c:v>8.0750766835671298E-2</c:v>
                </c:pt>
                <c:pt idx="8">
                  <c:v>8.512077427491109E-2</c:v>
                </c:pt>
                <c:pt idx="9">
                  <c:v>7.4814222428364885E-2</c:v>
                </c:pt>
                <c:pt idx="10">
                  <c:v>5.5407399116804687E-2</c:v>
                </c:pt>
                <c:pt idx="11">
                  <c:v>3.4917506706651037E-2</c:v>
                </c:pt>
                <c:pt idx="12">
                  <c:v>1.8896264214021057E-2</c:v>
                </c:pt>
                <c:pt idx="13">
                  <c:v>8.8565414517314065E-3</c:v>
                </c:pt>
                <c:pt idx="14">
                  <c:v>3.6237710099709694E-3</c:v>
                </c:pt>
                <c:pt idx="15">
                  <c:v>1.3040464461629216E-3</c:v>
                </c:pt>
                <c:pt idx="16">
                  <c:v>4.1560500531085569E-4</c:v>
                </c:pt>
                <c:pt idx="17">
                  <c:v>1.1807339877770798E-4</c:v>
                </c:pt>
              </c:numCache>
            </c:numRef>
          </c:val>
        </c:ser>
        <c:marker val="1"/>
        <c:axId val="66615168"/>
        <c:axId val="66616704"/>
      </c:lineChart>
      <c:catAx>
        <c:axId val="66615168"/>
        <c:scaling>
          <c:orientation val="minMax"/>
        </c:scaling>
        <c:axPos val="b"/>
        <c:numFmt formatCode="General" sourceLinked="1"/>
        <c:majorTickMark val="none"/>
        <c:tickLblPos val="nextTo"/>
        <c:crossAx val="66616704"/>
        <c:crosses val="autoZero"/>
        <c:auto val="1"/>
        <c:lblAlgn val="ctr"/>
        <c:lblOffset val="100"/>
      </c:catAx>
      <c:valAx>
        <c:axId val="66616704"/>
        <c:scaling>
          <c:orientation val="minMax"/>
        </c:scaling>
        <c:axPos val="l"/>
        <c:majorGridlines/>
        <c:numFmt formatCode="0.000_ " sourceLinked="1"/>
        <c:majorTickMark val="none"/>
        <c:tickLblPos val="nextTo"/>
        <c:crossAx val="66615168"/>
        <c:crosses val="autoZero"/>
        <c:crossBetween val="between"/>
      </c:valAx>
    </c:plotArea>
    <c:legend>
      <c:legendPos val="r"/>
      <c:layout/>
    </c:legend>
    <c:plotVisOnly val="1"/>
  </c:chart>
  <c:txPr>
    <a:bodyPr/>
    <a:lstStyle/>
    <a:p>
      <a:pPr>
        <a:defRPr baseline="0">
          <a:latin typeface="微软雅黑" pitchFamily="34" charset="-122"/>
          <a:ea typeface="微软雅黑" pitchFamily="34" charset="-122"/>
        </a:defRPr>
      </a:pPr>
      <a:endParaRPr lang="zh-CN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Theta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期权分析表!$B$23</c:f>
              <c:strCache>
                <c:ptCount val="1"/>
                <c:pt idx="0">
                  <c:v>Leg1</c:v>
                </c:pt>
              </c:strCache>
            </c:strRef>
          </c:tx>
          <c:marker>
            <c:symbol val="none"/>
          </c:marker>
          <c:cat>
            <c:numRef>
              <c:f>期权分析表!$A$90:$A$107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期权分析表!$B$90:$B$107</c:f>
              <c:numCache>
                <c:formatCode>0.000_ </c:formatCode>
                <c:ptCount val="18"/>
                <c:pt idx="0">
                  <c:v>-4.4860978448739945E-5</c:v>
                </c:pt>
                <c:pt idx="1">
                  <c:v>-2.5658418816679342E-4</c:v>
                </c:pt>
                <c:pt idx="2">
                  <c:v>-1.1041371755545566E-3</c:v>
                </c:pt>
                <c:pt idx="3">
                  <c:v>-3.639767380899472E-3</c:v>
                </c:pt>
                <c:pt idx="4">
                  <c:v>-9.3441646737295828E-3</c:v>
                </c:pt>
                <c:pt idx="5">
                  <c:v>-1.8964575459683213E-2</c:v>
                </c:pt>
                <c:pt idx="6">
                  <c:v>-3.0842576514075213E-2</c:v>
                </c:pt>
                <c:pt idx="7">
                  <c:v>-4.0671928264750745E-2</c:v>
                </c:pt>
                <c:pt idx="8">
                  <c:v>-4.3904794918149533E-2</c:v>
                </c:pt>
                <c:pt idx="9">
                  <c:v>-3.9016724177691205E-2</c:v>
                </c:pt>
                <c:pt idx="10">
                  <c:v>-2.8464786562047324E-2</c:v>
                </c:pt>
                <c:pt idx="11">
                  <c:v>-1.6607914886460622E-2</c:v>
                </c:pt>
                <c:pt idx="12">
                  <c:v>-6.8778097882341432E-3</c:v>
                </c:pt>
                <c:pt idx="13">
                  <c:v>-5.1286482450495934E-4</c:v>
                </c:pt>
                <c:pt idx="14">
                  <c:v>2.9402853036505972E-3</c:v>
                </c:pt>
                <c:pt idx="15">
                  <c:v>4.5307875042056812E-3</c:v>
                </c:pt>
                <c:pt idx="16">
                  <c:v>5.1628504238328786E-3</c:v>
                </c:pt>
                <c:pt idx="17">
                  <c:v>5.3822509912316366E-3</c:v>
                </c:pt>
              </c:numCache>
            </c:numRef>
          </c:val>
        </c:ser>
        <c:ser>
          <c:idx val="1"/>
          <c:order val="1"/>
          <c:tx>
            <c:strRef>
              <c:f>期权分析表!$C$23</c:f>
              <c:strCache>
                <c:ptCount val="1"/>
                <c:pt idx="0">
                  <c:v>Leg2</c:v>
                </c:pt>
              </c:strCache>
            </c:strRef>
          </c:tx>
          <c:marker>
            <c:symbol val="none"/>
          </c:marker>
          <c:cat>
            <c:numRef>
              <c:f>期权分析表!$A$90:$A$107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期权分析表!$C$90:$C$107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期权分析表!$D$23</c:f>
              <c:strCache>
                <c:ptCount val="1"/>
                <c:pt idx="0">
                  <c:v>Leg3</c:v>
                </c:pt>
              </c:strCache>
            </c:strRef>
          </c:tx>
          <c:marker>
            <c:symbol val="none"/>
          </c:marker>
          <c:cat>
            <c:numRef>
              <c:f>期权分析表!$A$90:$A$107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期权分析表!$D$90:$D$107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期权分析表!$E$23</c:f>
              <c:strCache>
                <c:ptCount val="1"/>
                <c:pt idx="0">
                  <c:v>Leg4</c:v>
                </c:pt>
              </c:strCache>
            </c:strRef>
          </c:tx>
          <c:marker>
            <c:symbol val="none"/>
          </c:marker>
          <c:cat>
            <c:numRef>
              <c:f>期权分析表!$A$90:$A$107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期权分析表!$E$90:$E$107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期权分析表!$F$23</c:f>
              <c:strCache>
                <c:ptCount val="1"/>
                <c:pt idx="0">
                  <c:v>Portfolio</c:v>
                </c:pt>
              </c:strCache>
            </c:strRef>
          </c:tx>
          <c:marker>
            <c:symbol val="none"/>
          </c:marker>
          <c:cat>
            <c:numRef>
              <c:f>期权分析表!$A$90:$A$107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期权分析表!$F$90:$F$107</c:f>
              <c:numCache>
                <c:formatCode>0.000_ </c:formatCode>
                <c:ptCount val="18"/>
                <c:pt idx="0">
                  <c:v>-4.4860978448739945E-5</c:v>
                </c:pt>
                <c:pt idx="1">
                  <c:v>-2.5658418816679342E-4</c:v>
                </c:pt>
                <c:pt idx="2">
                  <c:v>-1.1041371755545566E-3</c:v>
                </c:pt>
                <c:pt idx="3">
                  <c:v>-3.639767380899472E-3</c:v>
                </c:pt>
                <c:pt idx="4">
                  <c:v>-9.3441646737295828E-3</c:v>
                </c:pt>
                <c:pt idx="5">
                  <c:v>-1.8964575459683213E-2</c:v>
                </c:pt>
                <c:pt idx="6">
                  <c:v>-3.0842576514075213E-2</c:v>
                </c:pt>
                <c:pt idx="7">
                  <c:v>-4.0671928264750745E-2</c:v>
                </c:pt>
                <c:pt idx="8">
                  <c:v>-4.3904794918149533E-2</c:v>
                </c:pt>
                <c:pt idx="9">
                  <c:v>-3.9016724177691205E-2</c:v>
                </c:pt>
                <c:pt idx="10">
                  <c:v>-2.8464786562047324E-2</c:v>
                </c:pt>
                <c:pt idx="11">
                  <c:v>-1.6607914886460622E-2</c:v>
                </c:pt>
                <c:pt idx="12">
                  <c:v>-6.8778097882341432E-3</c:v>
                </c:pt>
                <c:pt idx="13">
                  <c:v>-5.1286482450495934E-4</c:v>
                </c:pt>
                <c:pt idx="14">
                  <c:v>2.9402853036505972E-3</c:v>
                </c:pt>
                <c:pt idx="15">
                  <c:v>4.5307875042056812E-3</c:v>
                </c:pt>
                <c:pt idx="16">
                  <c:v>5.1628504238328786E-3</c:v>
                </c:pt>
                <c:pt idx="17">
                  <c:v>5.3822509912316366E-3</c:v>
                </c:pt>
              </c:numCache>
            </c:numRef>
          </c:val>
        </c:ser>
        <c:marker val="1"/>
        <c:axId val="67062016"/>
        <c:axId val="67076096"/>
      </c:lineChart>
      <c:catAx>
        <c:axId val="67062016"/>
        <c:scaling>
          <c:orientation val="minMax"/>
        </c:scaling>
        <c:axPos val="b"/>
        <c:numFmt formatCode="General" sourceLinked="1"/>
        <c:majorTickMark val="none"/>
        <c:tickLblPos val="nextTo"/>
        <c:crossAx val="67076096"/>
        <c:crosses val="autoZero"/>
        <c:auto val="1"/>
        <c:lblAlgn val="ctr"/>
        <c:lblOffset val="100"/>
      </c:catAx>
      <c:valAx>
        <c:axId val="67076096"/>
        <c:scaling>
          <c:orientation val="minMax"/>
        </c:scaling>
        <c:axPos val="l"/>
        <c:majorGridlines/>
        <c:numFmt formatCode="0.000_ " sourceLinked="1"/>
        <c:majorTickMark val="none"/>
        <c:tickLblPos val="nextTo"/>
        <c:crossAx val="67062016"/>
        <c:crosses val="autoZero"/>
        <c:crossBetween val="between"/>
      </c:valAx>
    </c:plotArea>
    <c:legend>
      <c:legendPos val="r"/>
    </c:legend>
    <c:plotVisOnly val="1"/>
  </c:chart>
  <c:txPr>
    <a:bodyPr/>
    <a:lstStyle/>
    <a:p>
      <a:pPr>
        <a:defRPr baseline="0">
          <a:latin typeface="微软雅黑" pitchFamily="34" charset="-122"/>
          <a:ea typeface="微软雅黑" pitchFamily="34" charset="-122"/>
        </a:defRPr>
      </a:pPr>
      <a:endParaRPr lang="zh-CN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Vega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期权分析表!$B$23</c:f>
              <c:strCache>
                <c:ptCount val="1"/>
                <c:pt idx="0">
                  <c:v>Leg1</c:v>
                </c:pt>
              </c:strCache>
            </c:strRef>
          </c:tx>
          <c:marker>
            <c:symbol val="none"/>
          </c:marker>
          <c:cat>
            <c:numRef>
              <c:f>期权分析表!$A$112:$A$129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期权分析表!$B$112:$B$129</c:f>
              <c:numCache>
                <c:formatCode>0.000_ </c:formatCode>
                <c:ptCount val="18"/>
                <c:pt idx="0">
                  <c:v>9.0794443024518721E-5</c:v>
                </c:pt>
                <c:pt idx="1">
                  <c:v>5.2014629255566023E-4</c:v>
                </c:pt>
                <c:pt idx="2">
                  <c:v>2.2428852280299049E-3</c:v>
                </c:pt>
                <c:pt idx="3">
                  <c:v>7.4131806695208529E-3</c:v>
                </c:pt>
                <c:pt idx="4">
                  <c:v>1.9098330370053606E-2</c:v>
                </c:pt>
                <c:pt idx="5">
                  <c:v>3.8948754355853085E-2</c:v>
                </c:pt>
                <c:pt idx="6">
                  <c:v>6.3782749960660953E-2</c:v>
                </c:pt>
                <c:pt idx="7">
                  <c:v>8.4989629007099957E-2</c:v>
                </c:pt>
                <c:pt idx="8">
                  <c:v>9.3283040301272421E-2</c:v>
                </c:pt>
                <c:pt idx="9">
                  <c:v>8.5300511796680356E-2</c:v>
                </c:pt>
                <c:pt idx="10">
                  <c:v>6.567522507916268E-2</c:v>
                </c:pt>
                <c:pt idx="11">
                  <c:v>4.2995408806129426E-2</c:v>
                </c:pt>
                <c:pt idx="12">
                  <c:v>2.4154085018338812E-2</c:v>
                </c:pt>
                <c:pt idx="13">
                  <c:v>1.1744016609967125E-2</c:v>
                </c:pt>
                <c:pt idx="14">
                  <c:v>4.9815434026384492E-3</c:v>
                </c:pt>
                <c:pt idx="15">
                  <c:v>1.8572479577351594E-3</c:v>
                </c:pt>
                <c:pt idx="16">
                  <c:v>6.1286366591373957E-4</c:v>
                </c:pt>
                <c:pt idx="17">
                  <c:v>1.8017030187186911E-4</c:v>
                </c:pt>
              </c:numCache>
            </c:numRef>
          </c:val>
        </c:ser>
        <c:ser>
          <c:idx val="1"/>
          <c:order val="1"/>
          <c:tx>
            <c:strRef>
              <c:f>期权分析表!$C$23</c:f>
              <c:strCache>
                <c:ptCount val="1"/>
                <c:pt idx="0">
                  <c:v>Leg2</c:v>
                </c:pt>
              </c:strCache>
            </c:strRef>
          </c:tx>
          <c:marker>
            <c:symbol val="none"/>
          </c:marker>
          <c:cat>
            <c:numRef>
              <c:f>期权分析表!$A$112:$A$129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期权分析表!$C$112:$C$129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期权分析表!$D$23</c:f>
              <c:strCache>
                <c:ptCount val="1"/>
                <c:pt idx="0">
                  <c:v>Leg3</c:v>
                </c:pt>
              </c:strCache>
            </c:strRef>
          </c:tx>
          <c:marker>
            <c:symbol val="none"/>
          </c:marker>
          <c:cat>
            <c:numRef>
              <c:f>期权分析表!$A$112:$A$129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期权分析表!$D$112:$D$129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期权分析表!$E$23</c:f>
              <c:strCache>
                <c:ptCount val="1"/>
                <c:pt idx="0">
                  <c:v>Leg4</c:v>
                </c:pt>
              </c:strCache>
            </c:strRef>
          </c:tx>
          <c:marker>
            <c:symbol val="none"/>
          </c:marker>
          <c:cat>
            <c:numRef>
              <c:f>期权分析表!$A$112:$A$129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期权分析表!$E$112:$E$129</c:f>
              <c:numCache>
                <c:formatCode>0.000_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期权分析表!$F$23</c:f>
              <c:strCache>
                <c:ptCount val="1"/>
                <c:pt idx="0">
                  <c:v>Portfolio</c:v>
                </c:pt>
              </c:strCache>
            </c:strRef>
          </c:tx>
          <c:marker>
            <c:symbol val="none"/>
          </c:marker>
          <c:cat>
            <c:numRef>
              <c:f>期权分析表!$A$112:$A$129</c:f>
              <c:numCache>
                <c:formatCode>General</c:formatCode>
                <c:ptCount val="18"/>
                <c:pt idx="0">
                  <c:v>84</c:v>
                </c:pt>
                <c:pt idx="1">
                  <c:v>86</c:v>
                </c:pt>
                <c:pt idx="2">
                  <c:v>88</c:v>
                </c:pt>
                <c:pt idx="3">
                  <c:v>90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100</c:v>
                </c:pt>
                <c:pt idx="9">
                  <c:v>102</c:v>
                </c:pt>
                <c:pt idx="10">
                  <c:v>104</c:v>
                </c:pt>
                <c:pt idx="11">
                  <c:v>106</c:v>
                </c:pt>
                <c:pt idx="12">
                  <c:v>108</c:v>
                </c:pt>
                <c:pt idx="13">
                  <c:v>110</c:v>
                </c:pt>
                <c:pt idx="14">
                  <c:v>112</c:v>
                </c:pt>
                <c:pt idx="15">
                  <c:v>114</c:v>
                </c:pt>
                <c:pt idx="16">
                  <c:v>116</c:v>
                </c:pt>
                <c:pt idx="17">
                  <c:v>118</c:v>
                </c:pt>
              </c:numCache>
            </c:numRef>
          </c:cat>
          <c:val>
            <c:numRef>
              <c:f>期权分析表!$F$112:$F$129</c:f>
              <c:numCache>
                <c:formatCode>0.000_ </c:formatCode>
                <c:ptCount val="18"/>
                <c:pt idx="0">
                  <c:v>9.0794443024518721E-5</c:v>
                </c:pt>
                <c:pt idx="1">
                  <c:v>5.2014629255566023E-4</c:v>
                </c:pt>
                <c:pt idx="2">
                  <c:v>2.2428852280299049E-3</c:v>
                </c:pt>
                <c:pt idx="3">
                  <c:v>7.4131806695208529E-3</c:v>
                </c:pt>
                <c:pt idx="4">
                  <c:v>1.9098330370053606E-2</c:v>
                </c:pt>
                <c:pt idx="5">
                  <c:v>3.8948754355853085E-2</c:v>
                </c:pt>
                <c:pt idx="6">
                  <c:v>6.3782749960660953E-2</c:v>
                </c:pt>
                <c:pt idx="7">
                  <c:v>8.4989629007099957E-2</c:v>
                </c:pt>
                <c:pt idx="8">
                  <c:v>9.3283040301272421E-2</c:v>
                </c:pt>
                <c:pt idx="9">
                  <c:v>8.5300511796680356E-2</c:v>
                </c:pt>
                <c:pt idx="10">
                  <c:v>6.567522507916268E-2</c:v>
                </c:pt>
                <c:pt idx="11">
                  <c:v>4.2995408806129426E-2</c:v>
                </c:pt>
                <c:pt idx="12">
                  <c:v>2.4154085018338812E-2</c:v>
                </c:pt>
                <c:pt idx="13">
                  <c:v>1.1744016609967125E-2</c:v>
                </c:pt>
                <c:pt idx="14">
                  <c:v>4.9815434026384492E-3</c:v>
                </c:pt>
                <c:pt idx="15">
                  <c:v>1.8572479577351594E-3</c:v>
                </c:pt>
                <c:pt idx="16">
                  <c:v>6.1286366591373957E-4</c:v>
                </c:pt>
                <c:pt idx="17">
                  <c:v>1.8017030187186911E-4</c:v>
                </c:pt>
              </c:numCache>
            </c:numRef>
          </c:val>
        </c:ser>
        <c:marker val="1"/>
        <c:axId val="67107456"/>
        <c:axId val="66986368"/>
      </c:lineChart>
      <c:catAx>
        <c:axId val="67107456"/>
        <c:scaling>
          <c:orientation val="minMax"/>
        </c:scaling>
        <c:axPos val="b"/>
        <c:numFmt formatCode="General" sourceLinked="1"/>
        <c:majorTickMark val="none"/>
        <c:tickLblPos val="nextTo"/>
        <c:crossAx val="66986368"/>
        <c:crosses val="autoZero"/>
        <c:auto val="1"/>
        <c:lblAlgn val="ctr"/>
        <c:lblOffset val="100"/>
      </c:catAx>
      <c:valAx>
        <c:axId val="66986368"/>
        <c:scaling>
          <c:orientation val="minMax"/>
        </c:scaling>
        <c:axPos val="l"/>
        <c:majorGridlines/>
        <c:numFmt formatCode="0.000_ " sourceLinked="1"/>
        <c:majorTickMark val="none"/>
        <c:tickLblPos val="nextTo"/>
        <c:crossAx val="67107456"/>
        <c:crosses val="autoZero"/>
        <c:crossBetween val="between"/>
      </c:valAx>
    </c:plotArea>
    <c:legend>
      <c:legendPos val="r"/>
    </c:legend>
    <c:plotVisOnly val="1"/>
  </c:chart>
  <c:txPr>
    <a:bodyPr/>
    <a:lstStyle/>
    <a:p>
      <a:pPr>
        <a:defRPr baseline="0">
          <a:latin typeface="微软雅黑" pitchFamily="34" charset="-122"/>
          <a:ea typeface="微软雅黑" pitchFamily="34" charset="-122"/>
        </a:defRPr>
      </a:pPr>
      <a:endParaRPr lang="zh-CN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657225</xdr:colOff>
      <xdr:row>23</xdr:row>
      <xdr:rowOff>95250</xdr:rowOff>
    </xdr:from>
    <xdr:to>
      <xdr:col>13</xdr:col>
      <xdr:colOff>428625</xdr:colOff>
      <xdr:row>40</xdr:row>
      <xdr:rowOff>95250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44</xdr:row>
      <xdr:rowOff>0</xdr:rowOff>
    </xdr:from>
    <xdr:to>
      <xdr:col>13</xdr:col>
      <xdr:colOff>457200</xdr:colOff>
      <xdr:row>61</xdr:row>
      <xdr:rowOff>0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66</xdr:row>
      <xdr:rowOff>0</xdr:rowOff>
    </xdr:from>
    <xdr:to>
      <xdr:col>13</xdr:col>
      <xdr:colOff>457200</xdr:colOff>
      <xdr:row>83</xdr:row>
      <xdr:rowOff>0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88</xdr:row>
      <xdr:rowOff>0</xdr:rowOff>
    </xdr:from>
    <xdr:to>
      <xdr:col>13</xdr:col>
      <xdr:colOff>457200</xdr:colOff>
      <xdr:row>105</xdr:row>
      <xdr:rowOff>0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110</xdr:row>
      <xdr:rowOff>0</xdr:rowOff>
    </xdr:from>
    <xdr:to>
      <xdr:col>13</xdr:col>
      <xdr:colOff>457200</xdr:colOff>
      <xdr:row>127</xdr:row>
      <xdr:rowOff>0</xdr:rowOff>
    </xdr:to>
    <xdr:graphicFrame macro="">
      <xdr:nvGraphicFramePr>
        <xdr:cNvPr id="12" name="图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表1" displayName="表1" ref="A23:F41" totalsRowShown="0" headerRowDxfId="66" dataDxfId="65">
  <autoFilter ref="A23:F41"/>
  <tableColumns count="6">
    <tableColumn id="1" name="标的价格" dataDxfId="64"/>
    <tableColumn id="2" name="Leg1" dataDxfId="0">
      <calculatedColumnFormula>(OptionPrice(B$13,$A24,B$14,B$16,$B$5,B$17,$B$6))*B$18-B$19</calculatedColumnFormula>
    </tableColumn>
    <tableColumn id="3" name="Leg2" dataDxfId="63">
      <calculatedColumnFormula>(OptionPrice(C$13,$A24,C$14,C$16,$B$5,C$17,$B$6))*C$18-C$19</calculatedColumnFormula>
    </tableColumn>
    <tableColumn id="4" name="Leg3" dataDxfId="62">
      <calculatedColumnFormula>(OptionPrice(D$13,$A24,D$14,D$16,$B$5,D$17,$B$6))*D$18-D$19</calculatedColumnFormula>
    </tableColumn>
    <tableColumn id="5" name="Leg4" dataDxfId="61">
      <calculatedColumnFormula>(OptionPrice(E$13,$A24,E$14,E$16,$B$5,E$17,$B$6))*E$18-E$19</calculatedColumnFormula>
    </tableColumn>
    <tableColumn id="6" name="Portfolio" dataDxfId="60">
      <calculatedColumnFormula>SUM(B24:E24)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45:F63" totalsRowShown="0" headerRowDxfId="59" dataDxfId="58">
  <autoFilter ref="A45:F63"/>
  <tableColumns count="6">
    <tableColumn id="1" name="标的价格" dataDxfId="57"/>
    <tableColumn id="2" name="Leg1" dataDxfId="56">
      <calculatedColumnFormula>(OptionDelta(B$13,$A46,B$14,B$16,$B$5,B$17,$B$6))*B$18</calculatedColumnFormula>
    </tableColumn>
    <tableColumn id="3" name="Leg2" dataDxfId="55">
      <calculatedColumnFormula>(OptionDelta(C$13,$A46,C$14,C$16,$B$5,C$17,$B$6))*C$18</calculatedColumnFormula>
    </tableColumn>
    <tableColumn id="4" name="Leg3" dataDxfId="54">
      <calculatedColumnFormula>(OptionDelta(D$13,$A46,D$14,D$16,$B$5,D$17,$B$6))*D$18</calculatedColumnFormula>
    </tableColumn>
    <tableColumn id="5" name="Leg4" dataDxfId="53">
      <calculatedColumnFormula>(OptionDelta(E$13,$A46,E$14,E$16,$B$5,E$17,$B$6))*E$18</calculatedColumnFormula>
    </tableColumn>
    <tableColumn id="6" name="Portfolio" dataDxfId="52">
      <calculatedColumnFormula>SUM(B46:E46)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7:F85" totalsRowShown="0" headerRowDxfId="51" dataDxfId="50">
  <autoFilter ref="A67:F85"/>
  <tableColumns count="6">
    <tableColumn id="1" name="标的价格" dataDxfId="49"/>
    <tableColumn id="2" name="Leg1" dataDxfId="48">
      <calculatedColumnFormula>(OptionGamma(B$13,$A68,B$14,B$16,$B$5,B$17,$B$6))*B$18</calculatedColumnFormula>
    </tableColumn>
    <tableColumn id="3" name="Leg2" dataDxfId="47">
      <calculatedColumnFormula>(OptionGamma(C$13,$A68,C$14,C$16,$B$5,C$17,$B$6))*C$18</calculatedColumnFormula>
    </tableColumn>
    <tableColumn id="4" name="Leg3" dataDxfId="46">
      <calculatedColumnFormula>(OptionGamma(D$13,$A68,D$14,D$16,$B$5,D$17,$B$6))*D$18</calculatedColumnFormula>
    </tableColumn>
    <tableColumn id="5" name="Leg4" dataDxfId="45">
      <calculatedColumnFormula>(OptionGamma(E$13,$A68,E$14,E$16,$B$5,E$17,$B$6))*E$18</calculatedColumnFormula>
    </tableColumn>
    <tableColumn id="6" name="Portfolio" dataDxfId="44">
      <calculatedColumnFormula>SUM(B68:E68)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89:F107" totalsRowShown="0" headerRowDxfId="43" dataDxfId="42">
  <autoFilter ref="A89:F107"/>
  <tableColumns count="6">
    <tableColumn id="1" name="标的价格" dataDxfId="41"/>
    <tableColumn id="2" name="Leg1" dataDxfId="40">
      <calculatedColumnFormula>(OptionTheta(B$13,$A90,B$14,B$16,$B$5,B$17,$B$6))*B$18</calculatedColumnFormula>
    </tableColumn>
    <tableColumn id="3" name="Leg2" dataDxfId="39">
      <calculatedColumnFormula>(OptionTheta(C$13,$A90,C$14,C$16,$B$5,C$17,$B$6))*C$18</calculatedColumnFormula>
    </tableColumn>
    <tableColumn id="4" name="Leg3" dataDxfId="38">
      <calculatedColumnFormula>(OptionTheta(D$13,$A90,D$14,D$16,$B$5,D$17,$B$6))*D$18</calculatedColumnFormula>
    </tableColumn>
    <tableColumn id="5" name="Leg4" dataDxfId="37">
      <calculatedColumnFormula>(OptionTheta(E$13,$A90,E$14,E$16,$B$5,E$17,$B$6))*E$18</calculatedColumnFormula>
    </tableColumn>
    <tableColumn id="6" name="Portfolio" dataDxfId="36">
      <calculatedColumnFormula>SUM(B90:E90)</calculatedColumnFormula>
    </tableColumn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12:E19" totalsRowShown="0" headerRowDxfId="2" dataDxfId="1">
  <autoFilter ref="A12:E19"/>
  <tableColumns count="5">
    <tableColumn id="1" name="列1" dataDxfId="7"/>
    <tableColumn id="2" name="Leg1" dataDxfId="6"/>
    <tableColumn id="3" name="Leg2" dataDxfId="5"/>
    <tableColumn id="4" name="Leg3" dataDxfId="4"/>
    <tableColumn id="5" name="Leg4" dataDxfId="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6" name="表6" displayName="表6" ref="A4:B9" totalsRowShown="0" headerRowDxfId="35" dataDxfId="34">
  <autoFilter ref="A4:B9"/>
  <tableColumns count="2">
    <tableColumn id="1" name="列1" dataDxfId="33"/>
    <tableColumn id="2" name="价格" dataDxfId="3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7" name="表4_8" displayName="表4_8" ref="A111:F129" totalsRowShown="0" headerRowDxfId="31" dataDxfId="30">
  <autoFilter ref="A111:F129"/>
  <tableColumns count="6">
    <tableColumn id="1" name="标的价格" dataDxfId="29"/>
    <tableColumn id="2" name="Leg1" dataDxfId="28">
      <calculatedColumnFormula>(OptionVega(B$13,$A112,B$14,B$16,$B$5,B$17,$B$6))*B$18</calculatedColumnFormula>
    </tableColumn>
    <tableColumn id="3" name="Leg2" dataDxfId="27">
      <calculatedColumnFormula>(OptionVega(C$13,$A112,C$14,C$16,$B$5,C$17,$B$6))*C$18</calculatedColumnFormula>
    </tableColumn>
    <tableColumn id="4" name="Leg3" dataDxfId="26">
      <calculatedColumnFormula>(OptionVega(D$13,$A112,D$14,D$16,$B$5,D$17,$B$6))*D$18</calculatedColumnFormula>
    </tableColumn>
    <tableColumn id="5" name="Leg4" dataDxfId="25">
      <calculatedColumnFormula>(OptionVega(E$13,$A112,E$14,E$16,$B$5,E$17,$B$6))*E$18</calculatedColumnFormula>
    </tableColumn>
    <tableColumn id="6" name="Portfolio" dataDxfId="24">
      <calculatedColumnFormula>SUM(B112:E112)</calculatedColumnFormula>
    </tableColumn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5" name="表15" displayName="表15" ref="A6:N12" totalsRowShown="0" headerRowDxfId="23" dataDxfId="22">
  <autoFilter ref="A6:N12">
    <filterColumn colId="12"/>
    <filterColumn colId="13"/>
  </autoFilter>
  <tableColumns count="14">
    <tableColumn id="1" name="剩余日" dataDxfId="21"/>
    <tableColumn id="2" name="剩余时间" dataDxfId="20">
      <calculatedColumnFormula>A7/365</calculatedColumnFormula>
    </tableColumn>
    <tableColumn id="3" name="标的价格" dataDxfId="19"/>
    <tableColumn id="4" name="期权价值" dataDxfId="18">
      <calculatedColumnFormula>OptionPrice("C",$C7,$C$4,$B7,$C$2,$C$1,$C$3) + OptionPrice("P",$C7,$C$4,$B7,$C$2,$C$1,$C$3)</calculatedColumnFormula>
    </tableColumn>
    <tableColumn id="5" name="期权盈亏" dataDxfId="17">
      <calculatedColumnFormula>D7-D6</calculatedColumnFormula>
    </tableColumn>
    <tableColumn id="6" name="Delta" dataDxfId="16">
      <calculatedColumnFormula>OptionDelta("C",$C7,$C$4,$B7,$C$2,$C$1,$C$3) + OptionDelta("P",$C7,$C$4,$B7,$C$2,$C$1,$C$3)</calculatedColumnFormula>
    </tableColumn>
    <tableColumn id="7" name="Gamma" dataDxfId="15">
      <calculatedColumnFormula>OptionGamma("C",$C7,$C$4,$B7,$C$2,$C$1,$C$3) + OptionGamma("P",$C7,$C$4,$B7,$C$2,$C$1,$C$3)</calculatedColumnFormula>
    </tableColumn>
    <tableColumn id="8" name="Theta" dataDxfId="14">
      <calculatedColumnFormula>OptionTheta("C",$C7,$C$4,$B7,$C$2,$C$1,$C$3) + OptionTheta("P",$C7,$C$4,$B7,$C$2,$C$1,$C$3)</calculatedColumnFormula>
    </tableColumn>
    <tableColumn id="9" name="对冲持仓" dataDxfId="13"/>
    <tableColumn id="10" name="对冲盈亏" dataDxfId="12">
      <calculatedColumnFormula>(C7-C6)*I6</calculatedColumnFormula>
    </tableColumn>
    <tableColumn id="11" name="总盈亏" dataDxfId="11">
      <calculatedColumnFormula>J7+E7</calculatedColumnFormula>
    </tableColumn>
    <tableColumn id="12" name="累计盈亏" dataDxfId="10">
      <calculatedColumnFormula>L6+K7</calculatedColumnFormula>
    </tableColumn>
    <tableColumn id="13" name="累计Theta损失" dataDxfId="9">
      <calculatedColumnFormula>H7</calculatedColumnFormula>
    </tableColumn>
    <tableColumn id="14" name="累计对冲盈亏" dataDxfId="8">
      <calculatedColumnFormula>N6+表15[[#This Row],[对冲盈亏]]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F129"/>
  <sheetViews>
    <sheetView showGridLines="0" tabSelected="1" topLeftCell="A10" workbookViewId="0">
      <selection activeCell="N18" sqref="N18"/>
    </sheetView>
  </sheetViews>
  <sheetFormatPr defaultRowHeight="16.5"/>
  <cols>
    <col min="1" max="1" width="24.125" style="2" bestFit="1" customWidth="1"/>
    <col min="2" max="2" width="11.875" style="2" bestFit="1" customWidth="1"/>
    <col min="3" max="5" width="10.25" style="2" bestFit="1" customWidth="1"/>
    <col min="6" max="6" width="14" style="2" bestFit="1" customWidth="1"/>
    <col min="7" max="16384" width="9" style="2"/>
  </cols>
  <sheetData>
    <row r="3" spans="1:5" ht="22.5">
      <c r="A3" s="1" t="s">
        <v>23</v>
      </c>
    </row>
    <row r="4" spans="1:5">
      <c r="A4" s="2" t="s">
        <v>17</v>
      </c>
      <c r="B4" s="2" t="s">
        <v>0</v>
      </c>
    </row>
    <row r="5" spans="1:5">
      <c r="A5" s="3" t="s">
        <v>6</v>
      </c>
      <c r="B5" s="4">
        <v>0.02</v>
      </c>
    </row>
    <row r="6" spans="1:5">
      <c r="A6" s="3" t="s">
        <v>11</v>
      </c>
      <c r="B6" s="4">
        <v>0</v>
      </c>
    </row>
    <row r="7" spans="1:5">
      <c r="A7" s="25" t="s">
        <v>51</v>
      </c>
      <c r="B7" s="26">
        <v>100</v>
      </c>
    </row>
    <row r="8" spans="1:5">
      <c r="A8" s="25" t="s">
        <v>52</v>
      </c>
      <c r="B8" s="26">
        <v>30</v>
      </c>
    </row>
    <row r="9" spans="1:5">
      <c r="A9" s="25" t="s">
        <v>53</v>
      </c>
      <c r="B9" s="27">
        <f>B8/365</f>
        <v>8.2191780821917804E-2</v>
      </c>
    </row>
    <row r="10" spans="1:5">
      <c r="A10" s="3"/>
      <c r="B10" s="4"/>
    </row>
    <row r="11" spans="1:5" ht="22.5">
      <c r="A11" s="1" t="s">
        <v>22</v>
      </c>
    </row>
    <row r="12" spans="1:5">
      <c r="A12" s="2" t="s">
        <v>17</v>
      </c>
      <c r="B12" s="2" t="s">
        <v>1</v>
      </c>
      <c r="C12" s="2" t="s">
        <v>2</v>
      </c>
      <c r="D12" s="2" t="s">
        <v>3</v>
      </c>
      <c r="E12" s="2" t="s">
        <v>4</v>
      </c>
    </row>
    <row r="13" spans="1:5">
      <c r="A13" s="3" t="s">
        <v>7</v>
      </c>
      <c r="B13" s="2" t="s">
        <v>5</v>
      </c>
      <c r="C13" s="2" t="s">
        <v>5</v>
      </c>
      <c r="D13" s="2" t="s">
        <v>14</v>
      </c>
      <c r="E13" s="2" t="s">
        <v>5</v>
      </c>
    </row>
    <row r="14" spans="1:5">
      <c r="A14" s="3" t="s">
        <v>8</v>
      </c>
      <c r="B14" s="2">
        <v>100</v>
      </c>
      <c r="C14" s="2">
        <v>105</v>
      </c>
      <c r="D14" s="2">
        <v>94</v>
      </c>
      <c r="E14" s="2">
        <v>106</v>
      </c>
    </row>
    <row r="15" spans="1:5">
      <c r="A15" s="3" t="s">
        <v>9</v>
      </c>
      <c r="B15" s="2">
        <v>20</v>
      </c>
      <c r="C15" s="2">
        <v>30</v>
      </c>
      <c r="D15" s="2">
        <v>30</v>
      </c>
      <c r="E15" s="2">
        <v>30</v>
      </c>
    </row>
    <row r="16" spans="1:5">
      <c r="A16" s="3" t="s">
        <v>10</v>
      </c>
      <c r="B16" s="5">
        <f t="shared" ref="B16:E16" si="0">B15/365</f>
        <v>5.4794520547945202E-2</v>
      </c>
      <c r="C16" s="5">
        <f t="shared" si="0"/>
        <v>8.2191780821917804E-2</v>
      </c>
      <c r="D16" s="5">
        <f t="shared" si="0"/>
        <v>8.2191780821917804E-2</v>
      </c>
      <c r="E16" s="5">
        <f t="shared" si="0"/>
        <v>8.2191780821917804E-2</v>
      </c>
    </row>
    <row r="17" spans="1:6">
      <c r="A17" s="3" t="s">
        <v>13</v>
      </c>
      <c r="B17" s="4">
        <v>0.2</v>
      </c>
      <c r="C17" s="4">
        <v>0.2</v>
      </c>
      <c r="D17" s="4">
        <v>0.12</v>
      </c>
      <c r="E17" s="4">
        <v>0.12</v>
      </c>
    </row>
    <row r="18" spans="1:6">
      <c r="A18" s="3" t="s">
        <v>15</v>
      </c>
      <c r="B18" s="2">
        <v>1</v>
      </c>
      <c r="C18" s="2">
        <v>0</v>
      </c>
      <c r="D18" s="2">
        <v>0</v>
      </c>
      <c r="E18" s="2">
        <v>0</v>
      </c>
    </row>
    <row r="19" spans="1:6">
      <c r="A19" s="25" t="s">
        <v>54</v>
      </c>
      <c r="B19" s="28">
        <f>(OptionPrice(B$13,$B$7,B$14,$B$9,$B$5,B$17,$B$6))*B$18</f>
        <v>2.3683354165525543</v>
      </c>
      <c r="C19" s="28">
        <f t="shared" ref="C19:E19" si="1">(OptionPrice(C$13,$B$7,C$14,$B$9,$B$5,C$17,$B$6))*C$18</f>
        <v>0</v>
      </c>
      <c r="D19" s="28">
        <f t="shared" si="1"/>
        <v>0</v>
      </c>
      <c r="E19" s="28">
        <f t="shared" si="1"/>
        <v>0</v>
      </c>
    </row>
    <row r="20" spans="1:6">
      <c r="A20" s="3"/>
    </row>
    <row r="21" spans="1:6">
      <c r="A21" s="3"/>
    </row>
    <row r="22" spans="1:6" ht="22.5">
      <c r="A22" s="6" t="s">
        <v>55</v>
      </c>
    </row>
    <row r="23" spans="1:6">
      <c r="A23" s="2" t="s">
        <v>12</v>
      </c>
      <c r="B23" s="2" t="s">
        <v>1</v>
      </c>
      <c r="C23" s="2" t="s">
        <v>2</v>
      </c>
      <c r="D23" s="2" t="s">
        <v>3</v>
      </c>
      <c r="E23" s="2" t="s">
        <v>4</v>
      </c>
      <c r="F23" s="2" t="s">
        <v>16</v>
      </c>
    </row>
    <row r="24" spans="1:6">
      <c r="A24" s="2">
        <v>84</v>
      </c>
      <c r="B24" s="7">
        <f t="shared" ref="B24:E41" si="2">(OptionPrice(B$13,$A24,B$14,B$16,$B$5,B$17,$B$6))*B$18-B$19</f>
        <v>-2.3682246427033542</v>
      </c>
      <c r="C24" s="7">
        <f t="shared" si="2"/>
        <v>0</v>
      </c>
      <c r="D24" s="7">
        <f t="shared" si="2"/>
        <v>0</v>
      </c>
      <c r="E24" s="7">
        <f t="shared" si="2"/>
        <v>0</v>
      </c>
      <c r="F24" s="7">
        <f>SUM(B24:E24)</f>
        <v>-2.3682246427033542</v>
      </c>
    </row>
    <row r="25" spans="1:6">
      <c r="A25" s="2">
        <v>86</v>
      </c>
      <c r="B25" s="7">
        <f t="shared" si="2"/>
        <v>-2.3675263142636047</v>
      </c>
      <c r="C25" s="7">
        <f t="shared" si="2"/>
        <v>0</v>
      </c>
      <c r="D25" s="7">
        <f t="shared" si="2"/>
        <v>0</v>
      </c>
      <c r="E25" s="7">
        <f t="shared" si="2"/>
        <v>0</v>
      </c>
      <c r="F25" s="7">
        <f t="shared" ref="F25:F41" si="3">SUM(B25:E25)</f>
        <v>-2.3675263142636047</v>
      </c>
    </row>
    <row r="26" spans="1:6">
      <c r="A26" s="2">
        <v>88</v>
      </c>
      <c r="B26" s="7">
        <f t="shared" si="2"/>
        <v>-2.363790385210585</v>
      </c>
      <c r="C26" s="7">
        <f t="shared" si="2"/>
        <v>0</v>
      </c>
      <c r="D26" s="7">
        <f t="shared" si="2"/>
        <v>0</v>
      </c>
      <c r="E26" s="7">
        <f t="shared" si="2"/>
        <v>0</v>
      </c>
      <c r="F26" s="7">
        <f t="shared" si="3"/>
        <v>-2.363790385210585</v>
      </c>
    </row>
    <row r="27" spans="1:6">
      <c r="A27" s="2">
        <v>90</v>
      </c>
      <c r="B27" s="7">
        <f t="shared" si="2"/>
        <v>-2.3482620591351924</v>
      </c>
      <c r="C27" s="7">
        <f t="shared" si="2"/>
        <v>0</v>
      </c>
      <c r="D27" s="7">
        <f t="shared" si="2"/>
        <v>0</v>
      </c>
      <c r="E27" s="7">
        <f t="shared" si="2"/>
        <v>0</v>
      </c>
      <c r="F27" s="7">
        <f t="shared" si="3"/>
        <v>-2.3482620591351924</v>
      </c>
    </row>
    <row r="28" spans="1:6">
      <c r="A28" s="2">
        <v>92</v>
      </c>
      <c r="B28" s="7">
        <f t="shared" si="2"/>
        <v>-2.2971213826534567</v>
      </c>
      <c r="C28" s="7">
        <f t="shared" si="2"/>
        <v>0</v>
      </c>
      <c r="D28" s="7">
        <f t="shared" si="2"/>
        <v>0</v>
      </c>
      <c r="E28" s="7">
        <f t="shared" si="2"/>
        <v>0</v>
      </c>
      <c r="F28" s="7">
        <f t="shared" si="3"/>
        <v>-2.2971213826534567</v>
      </c>
    </row>
    <row r="29" spans="1:6">
      <c r="A29" s="2">
        <v>94</v>
      </c>
      <c r="B29" s="7">
        <f t="shared" si="2"/>
        <v>-2.1610660922351013</v>
      </c>
      <c r="C29" s="7">
        <f t="shared" si="2"/>
        <v>0</v>
      </c>
      <c r="D29" s="7">
        <f t="shared" si="2"/>
        <v>0</v>
      </c>
      <c r="E29" s="7">
        <f t="shared" si="2"/>
        <v>0</v>
      </c>
      <c r="F29" s="7">
        <f t="shared" si="3"/>
        <v>-2.1610660922351013</v>
      </c>
    </row>
    <row r="30" spans="1:6">
      <c r="A30" s="2">
        <v>96</v>
      </c>
      <c r="B30" s="7">
        <f t="shared" si="2"/>
        <v>-1.8629330568541249</v>
      </c>
      <c r="C30" s="7">
        <f t="shared" si="2"/>
        <v>0</v>
      </c>
      <c r="D30" s="7">
        <f t="shared" si="2"/>
        <v>0</v>
      </c>
      <c r="E30" s="7">
        <f t="shared" si="2"/>
        <v>0</v>
      </c>
      <c r="F30" s="7">
        <f t="shared" si="3"/>
        <v>-1.8629330568541249</v>
      </c>
    </row>
    <row r="31" spans="1:6">
      <c r="A31" s="2">
        <v>98</v>
      </c>
      <c r="B31" s="7">
        <f t="shared" si="2"/>
        <v>-1.3139764907427391</v>
      </c>
      <c r="C31" s="7">
        <f t="shared" si="2"/>
        <v>0</v>
      </c>
      <c r="D31" s="7">
        <f t="shared" si="2"/>
        <v>0</v>
      </c>
      <c r="E31" s="7">
        <f t="shared" si="2"/>
        <v>0</v>
      </c>
      <c r="F31" s="7">
        <f t="shared" si="3"/>
        <v>-1.3139764907427391</v>
      </c>
    </row>
    <row r="32" spans="1:6">
      <c r="A32" s="2">
        <v>100</v>
      </c>
      <c r="B32" s="7">
        <f t="shared" si="2"/>
        <v>-0.446546465866831</v>
      </c>
      <c r="C32" s="7">
        <f t="shared" si="2"/>
        <v>0</v>
      </c>
      <c r="D32" s="7">
        <f t="shared" si="2"/>
        <v>0</v>
      </c>
      <c r="E32" s="7">
        <f t="shared" si="2"/>
        <v>0</v>
      </c>
      <c r="F32" s="7">
        <f t="shared" si="3"/>
        <v>-0.446546465866831</v>
      </c>
    </row>
    <row r="33" spans="1:6">
      <c r="A33" s="2">
        <v>102</v>
      </c>
      <c r="B33" s="7">
        <f t="shared" si="2"/>
        <v>0.75634486319147243</v>
      </c>
      <c r="C33" s="7">
        <f t="shared" si="2"/>
        <v>0</v>
      </c>
      <c r="D33" s="7">
        <f t="shared" si="2"/>
        <v>0</v>
      </c>
      <c r="E33" s="7">
        <f t="shared" si="2"/>
        <v>0</v>
      </c>
      <c r="F33" s="7">
        <f t="shared" si="3"/>
        <v>0.75634486319147243</v>
      </c>
    </row>
    <row r="34" spans="1:6">
      <c r="A34" s="2">
        <v>104</v>
      </c>
      <c r="B34" s="7">
        <f t="shared" si="2"/>
        <v>2.2554189873008994</v>
      </c>
      <c r="C34" s="7">
        <f t="shared" si="2"/>
        <v>0</v>
      </c>
      <c r="D34" s="7">
        <f t="shared" si="2"/>
        <v>0</v>
      </c>
      <c r="E34" s="7">
        <f t="shared" si="2"/>
        <v>0</v>
      </c>
      <c r="F34" s="7">
        <f t="shared" si="3"/>
        <v>2.2554189873008994</v>
      </c>
    </row>
    <row r="35" spans="1:6">
      <c r="A35" s="2">
        <v>106</v>
      </c>
      <c r="B35" s="7">
        <f t="shared" si="2"/>
        <v>3.9758112674686004</v>
      </c>
      <c r="C35" s="7">
        <f t="shared" si="2"/>
        <v>0</v>
      </c>
      <c r="D35" s="7">
        <f t="shared" si="2"/>
        <v>0</v>
      </c>
      <c r="E35" s="7">
        <f t="shared" si="2"/>
        <v>0</v>
      </c>
      <c r="F35" s="7">
        <f t="shared" si="3"/>
        <v>3.9758112674686004</v>
      </c>
    </row>
    <row r="36" spans="1:6">
      <c r="A36" s="2">
        <v>108</v>
      </c>
      <c r="B36" s="7">
        <f t="shared" si="2"/>
        <v>5.8374370337170376</v>
      </c>
      <c r="C36" s="7">
        <f t="shared" si="2"/>
        <v>0</v>
      </c>
      <c r="D36" s="7">
        <f t="shared" si="2"/>
        <v>0</v>
      </c>
      <c r="E36" s="7">
        <f t="shared" si="2"/>
        <v>0</v>
      </c>
      <c r="F36" s="7">
        <f t="shared" si="3"/>
        <v>5.8374370337170376</v>
      </c>
    </row>
    <row r="37" spans="1:6">
      <c r="A37" s="2">
        <v>110</v>
      </c>
      <c r="B37" s="7">
        <f t="shared" si="2"/>
        <v>7.7766873060071191</v>
      </c>
      <c r="C37" s="7">
        <f t="shared" si="2"/>
        <v>0</v>
      </c>
      <c r="D37" s="7">
        <f t="shared" si="2"/>
        <v>0</v>
      </c>
      <c r="E37" s="7">
        <f t="shared" si="2"/>
        <v>0</v>
      </c>
      <c r="F37" s="7">
        <f t="shared" si="3"/>
        <v>7.7766873060071191</v>
      </c>
    </row>
    <row r="38" spans="1:6">
      <c r="A38" s="2">
        <v>112</v>
      </c>
      <c r="B38" s="7">
        <f t="shared" si="2"/>
        <v>9.7529758167741392</v>
      </c>
      <c r="C38" s="7">
        <f t="shared" si="2"/>
        <v>0</v>
      </c>
      <c r="D38" s="7">
        <f t="shared" si="2"/>
        <v>0</v>
      </c>
      <c r="E38" s="7">
        <f t="shared" si="2"/>
        <v>0</v>
      </c>
      <c r="F38" s="7">
        <f t="shared" si="3"/>
        <v>9.7529758167741392</v>
      </c>
    </row>
    <row r="39" spans="1:6">
      <c r="A39" s="2">
        <v>114</v>
      </c>
      <c r="B39" s="7">
        <f t="shared" si="2"/>
        <v>11.744721556873372</v>
      </c>
      <c r="C39" s="7">
        <f t="shared" si="2"/>
        <v>0</v>
      </c>
      <c r="D39" s="7">
        <f t="shared" si="2"/>
        <v>0</v>
      </c>
      <c r="E39" s="7">
        <f t="shared" si="2"/>
        <v>0</v>
      </c>
      <c r="F39" s="7">
        <f t="shared" si="3"/>
        <v>11.744721556873372</v>
      </c>
    </row>
    <row r="40" spans="1:6">
      <c r="A40" s="2">
        <v>116</v>
      </c>
      <c r="B40" s="7">
        <f t="shared" si="2"/>
        <v>13.742149118385868</v>
      </c>
      <c r="C40" s="7">
        <f t="shared" si="2"/>
        <v>0</v>
      </c>
      <c r="D40" s="7">
        <f t="shared" si="2"/>
        <v>0</v>
      </c>
      <c r="E40" s="7">
        <f t="shared" si="2"/>
        <v>0</v>
      </c>
      <c r="F40" s="7">
        <f t="shared" si="3"/>
        <v>13.742149118385868</v>
      </c>
    </row>
    <row r="41" spans="1:6" ht="12.75" customHeight="1">
      <c r="A41" s="2">
        <v>118</v>
      </c>
      <c r="B41" s="7">
        <f t="shared" si="2"/>
        <v>15.741428428463152</v>
      </c>
      <c r="C41" s="7">
        <f t="shared" si="2"/>
        <v>0</v>
      </c>
      <c r="D41" s="7">
        <f t="shared" si="2"/>
        <v>0</v>
      </c>
      <c r="E41" s="7">
        <f t="shared" si="2"/>
        <v>0</v>
      </c>
      <c r="F41" s="7">
        <f t="shared" si="3"/>
        <v>15.741428428463152</v>
      </c>
    </row>
    <row r="42" spans="1:6" ht="12.75" customHeight="1">
      <c r="B42" s="7"/>
      <c r="C42" s="7"/>
      <c r="D42" s="7"/>
      <c r="E42" s="7"/>
      <c r="F42" s="7"/>
    </row>
    <row r="43" spans="1:6" ht="12.75" customHeight="1">
      <c r="B43" s="7"/>
      <c r="C43" s="7"/>
      <c r="D43" s="7"/>
      <c r="E43" s="7"/>
      <c r="F43" s="7"/>
    </row>
    <row r="44" spans="1:6" ht="22.5">
      <c r="A44" s="8" t="s">
        <v>18</v>
      </c>
    </row>
    <row r="45" spans="1:6">
      <c r="A45" s="2" t="s">
        <v>12</v>
      </c>
      <c r="B45" s="2" t="s">
        <v>1</v>
      </c>
      <c r="C45" s="2" t="s">
        <v>2</v>
      </c>
      <c r="D45" s="2" t="s">
        <v>3</v>
      </c>
      <c r="E45" s="2" t="s">
        <v>4</v>
      </c>
      <c r="F45" s="2" t="s">
        <v>16</v>
      </c>
    </row>
    <row r="46" spans="1:6">
      <c r="A46" s="2">
        <v>84</v>
      </c>
      <c r="B46" s="7">
        <f t="shared" ref="B46:E63" si="4">(OptionDelta(B$13,$A46,B$14,B$16,$B$5,B$17,$B$6))*B$18</f>
        <v>1.1782392569559264E-4</v>
      </c>
      <c r="C46" s="7">
        <f t="shared" si="4"/>
        <v>0</v>
      </c>
      <c r="D46" s="7">
        <f t="shared" si="4"/>
        <v>0</v>
      </c>
      <c r="E46" s="7">
        <f t="shared" si="4"/>
        <v>0</v>
      </c>
      <c r="F46" s="7">
        <f>SUM(B46:E46)</f>
        <v>1.1782392569559264E-4</v>
      </c>
    </row>
    <row r="47" spans="1:6">
      <c r="A47" s="2">
        <v>86</v>
      </c>
      <c r="B47" s="7">
        <f t="shared" si="4"/>
        <v>7.4979753273685112E-4</v>
      </c>
      <c r="C47" s="7">
        <f t="shared" si="4"/>
        <v>0</v>
      </c>
      <c r="D47" s="7">
        <f t="shared" si="4"/>
        <v>0</v>
      </c>
      <c r="E47" s="7">
        <f t="shared" si="4"/>
        <v>0</v>
      </c>
      <c r="F47" s="7">
        <f t="shared" ref="F47:F63" si="5">SUM(B47:E47)</f>
        <v>7.4979753273685112E-4</v>
      </c>
    </row>
    <row r="48" spans="1:6">
      <c r="A48" s="2">
        <v>88</v>
      </c>
      <c r="B48" s="7">
        <f t="shared" si="4"/>
        <v>3.6405600368658586E-3</v>
      </c>
      <c r="C48" s="7">
        <f t="shared" si="4"/>
        <v>0</v>
      </c>
      <c r="D48" s="7">
        <f t="shared" si="4"/>
        <v>0</v>
      </c>
      <c r="E48" s="7">
        <f t="shared" si="4"/>
        <v>0</v>
      </c>
      <c r="F48" s="7">
        <f t="shared" si="5"/>
        <v>3.6405600368658586E-3</v>
      </c>
    </row>
    <row r="49" spans="1:6">
      <c r="A49" s="2">
        <v>90</v>
      </c>
      <c r="B49" s="7">
        <f t="shared" si="4"/>
        <v>1.3773247393108812E-2</v>
      </c>
      <c r="C49" s="7">
        <f t="shared" si="4"/>
        <v>0</v>
      </c>
      <c r="D49" s="7">
        <f t="shared" si="4"/>
        <v>0</v>
      </c>
      <c r="E49" s="7">
        <f t="shared" si="4"/>
        <v>0</v>
      </c>
      <c r="F49" s="7">
        <f t="shared" si="5"/>
        <v>1.3773247393108812E-2</v>
      </c>
    </row>
    <row r="50" spans="1:6">
      <c r="A50" s="2">
        <v>92</v>
      </c>
      <c r="B50" s="7">
        <f t="shared" si="4"/>
        <v>4.1439927881232741E-2</v>
      </c>
      <c r="C50" s="7">
        <f t="shared" si="4"/>
        <v>0</v>
      </c>
      <c r="D50" s="7">
        <f t="shared" si="4"/>
        <v>0</v>
      </c>
      <c r="E50" s="7">
        <f t="shared" si="4"/>
        <v>0</v>
      </c>
      <c r="F50" s="7">
        <f t="shared" si="5"/>
        <v>4.1439927881232741E-2</v>
      </c>
    </row>
    <row r="51" spans="1:6">
      <c r="A51" s="2">
        <v>94</v>
      </c>
      <c r="B51" s="7">
        <f t="shared" si="4"/>
        <v>0.10118245406657711</v>
      </c>
      <c r="C51" s="7">
        <f t="shared" si="4"/>
        <v>0</v>
      </c>
      <c r="D51" s="7">
        <f t="shared" si="4"/>
        <v>0</v>
      </c>
      <c r="E51" s="7">
        <f t="shared" si="4"/>
        <v>0</v>
      </c>
      <c r="F51" s="7">
        <f t="shared" si="5"/>
        <v>0.10118245406657711</v>
      </c>
    </row>
    <row r="52" spans="1:6">
      <c r="A52" s="2">
        <v>96</v>
      </c>
      <c r="B52" s="7">
        <f t="shared" si="4"/>
        <v>0.20464556634226283</v>
      </c>
      <c r="C52" s="7">
        <f t="shared" si="4"/>
        <v>0</v>
      </c>
      <c r="D52" s="7">
        <f t="shared" si="4"/>
        <v>0</v>
      </c>
      <c r="E52" s="7">
        <f t="shared" si="4"/>
        <v>0</v>
      </c>
      <c r="F52" s="7">
        <f t="shared" si="5"/>
        <v>0.20464556634226283</v>
      </c>
    </row>
    <row r="53" spans="1:6">
      <c r="A53" s="2">
        <v>98</v>
      </c>
      <c r="B53" s="7">
        <f t="shared" si="4"/>
        <v>0.35022482432546886</v>
      </c>
      <c r="C53" s="7">
        <f t="shared" si="4"/>
        <v>0</v>
      </c>
      <c r="D53" s="7">
        <f t="shared" si="4"/>
        <v>0</v>
      </c>
      <c r="E53" s="7">
        <f t="shared" si="4"/>
        <v>0</v>
      </c>
      <c r="F53" s="7">
        <f t="shared" si="5"/>
        <v>0.35022482432546886</v>
      </c>
    </row>
    <row r="54" spans="1:6">
      <c r="A54" s="2">
        <v>100</v>
      </c>
      <c r="B54" s="7">
        <f t="shared" si="4"/>
        <v>0.51867024443567789</v>
      </c>
      <c r="C54" s="7">
        <f t="shared" si="4"/>
        <v>0</v>
      </c>
      <c r="D54" s="7">
        <f t="shared" si="4"/>
        <v>0</v>
      </c>
      <c r="E54" s="7">
        <f t="shared" si="4"/>
        <v>0</v>
      </c>
      <c r="F54" s="7">
        <f t="shared" si="5"/>
        <v>0.51867024443567789</v>
      </c>
    </row>
    <row r="55" spans="1:6">
      <c r="A55" s="2">
        <v>102</v>
      </c>
      <c r="B55" s="7">
        <f t="shared" si="4"/>
        <v>0.68075131550576462</v>
      </c>
      <c r="C55" s="7">
        <f t="shared" si="4"/>
        <v>0</v>
      </c>
      <c r="D55" s="7">
        <f t="shared" si="4"/>
        <v>0</v>
      </c>
      <c r="E55" s="7">
        <f t="shared" si="4"/>
        <v>0</v>
      </c>
      <c r="F55" s="7">
        <f t="shared" si="5"/>
        <v>0.68075131550576462</v>
      </c>
    </row>
    <row r="56" spans="1:6">
      <c r="A56" s="2">
        <v>104</v>
      </c>
      <c r="B56" s="7">
        <f t="shared" si="4"/>
        <v>0.81180604321008953</v>
      </c>
      <c r="C56" s="7">
        <f t="shared" si="4"/>
        <v>0</v>
      </c>
      <c r="D56" s="7">
        <f t="shared" si="4"/>
        <v>0</v>
      </c>
      <c r="E56" s="7">
        <f t="shared" si="4"/>
        <v>0</v>
      </c>
      <c r="F56" s="7">
        <f t="shared" si="5"/>
        <v>0.81180604321008953</v>
      </c>
    </row>
    <row r="57" spans="1:6">
      <c r="A57" s="2">
        <v>106</v>
      </c>
      <c r="B57" s="7">
        <f t="shared" si="4"/>
        <v>0.90172457888722568</v>
      </c>
      <c r="C57" s="7">
        <f t="shared" si="4"/>
        <v>0</v>
      </c>
      <c r="D57" s="7">
        <f t="shared" si="4"/>
        <v>0</v>
      </c>
      <c r="E57" s="7">
        <f t="shared" si="4"/>
        <v>0</v>
      </c>
      <c r="F57" s="7">
        <f t="shared" si="5"/>
        <v>0.90172457888722568</v>
      </c>
    </row>
    <row r="58" spans="1:6">
      <c r="A58" s="2">
        <v>108</v>
      </c>
      <c r="B58" s="7">
        <f t="shared" si="4"/>
        <v>0.95455342229016782</v>
      </c>
      <c r="C58" s="7">
        <f t="shared" si="4"/>
        <v>0</v>
      </c>
      <c r="D58" s="7">
        <f t="shared" si="4"/>
        <v>0</v>
      </c>
      <c r="E58" s="7">
        <f t="shared" si="4"/>
        <v>0</v>
      </c>
      <c r="F58" s="7">
        <f t="shared" si="5"/>
        <v>0.95455342229016782</v>
      </c>
    </row>
    <row r="59" spans="1:6">
      <c r="A59" s="2">
        <v>110</v>
      </c>
      <c r="B59" s="7">
        <f t="shared" si="4"/>
        <v>0.98135810219358355</v>
      </c>
      <c r="C59" s="7">
        <f t="shared" si="4"/>
        <v>0</v>
      </c>
      <c r="D59" s="7">
        <f t="shared" si="4"/>
        <v>0</v>
      </c>
      <c r="E59" s="7">
        <f t="shared" si="4"/>
        <v>0</v>
      </c>
      <c r="F59" s="7">
        <f t="shared" si="5"/>
        <v>0.98135810219358355</v>
      </c>
    </row>
    <row r="60" spans="1:6">
      <c r="A60" s="2">
        <v>112</v>
      </c>
      <c r="B60" s="7">
        <f t="shared" si="4"/>
        <v>0.99319733548237443</v>
      </c>
      <c r="C60" s="7">
        <f t="shared" si="4"/>
        <v>0</v>
      </c>
      <c r="D60" s="7">
        <f t="shared" si="4"/>
        <v>0</v>
      </c>
      <c r="E60" s="7">
        <f t="shared" si="4"/>
        <v>0</v>
      </c>
      <c r="F60" s="7">
        <f t="shared" si="5"/>
        <v>0.99319733548237443</v>
      </c>
    </row>
    <row r="61" spans="1:6">
      <c r="A61" s="2">
        <v>114</v>
      </c>
      <c r="B61" s="7">
        <f t="shared" si="4"/>
        <v>0.99778347841678028</v>
      </c>
      <c r="C61" s="7">
        <f t="shared" si="4"/>
        <v>0</v>
      </c>
      <c r="D61" s="7">
        <f t="shared" si="4"/>
        <v>0</v>
      </c>
      <c r="E61" s="7">
        <f t="shared" si="4"/>
        <v>0</v>
      </c>
      <c r="F61" s="7">
        <f t="shared" si="5"/>
        <v>0.99778347841678028</v>
      </c>
    </row>
    <row r="62" spans="1:6">
      <c r="A62" s="2">
        <v>116</v>
      </c>
      <c r="B62" s="7">
        <f t="shared" si="4"/>
        <v>0.99935246311509762</v>
      </c>
      <c r="C62" s="7">
        <f t="shared" si="4"/>
        <v>0</v>
      </c>
      <c r="D62" s="7">
        <f t="shared" si="4"/>
        <v>0</v>
      </c>
      <c r="E62" s="7">
        <f t="shared" si="4"/>
        <v>0</v>
      </c>
      <c r="F62" s="7">
        <f t="shared" si="5"/>
        <v>0.99935246311509762</v>
      </c>
    </row>
    <row r="63" spans="1:6">
      <c r="A63" s="2">
        <v>118</v>
      </c>
      <c r="B63" s="7">
        <f t="shared" si="4"/>
        <v>0.9998296477929991</v>
      </c>
      <c r="C63" s="7">
        <f t="shared" si="4"/>
        <v>0</v>
      </c>
      <c r="D63" s="7">
        <f t="shared" si="4"/>
        <v>0</v>
      </c>
      <c r="E63" s="7">
        <f t="shared" si="4"/>
        <v>0</v>
      </c>
      <c r="F63" s="7">
        <f t="shared" si="5"/>
        <v>0.9998296477929991</v>
      </c>
    </row>
    <row r="64" spans="1:6">
      <c r="B64" s="7"/>
      <c r="C64" s="7"/>
      <c r="D64" s="7"/>
      <c r="E64" s="7"/>
      <c r="F64" s="7"/>
    </row>
    <row r="65" spans="1:6">
      <c r="B65" s="7"/>
      <c r="C65" s="7"/>
      <c r="D65" s="7"/>
      <c r="E65" s="7"/>
      <c r="F65" s="7"/>
    </row>
    <row r="66" spans="1:6" ht="22.5">
      <c r="A66" s="9" t="s">
        <v>19</v>
      </c>
    </row>
    <row r="67" spans="1:6">
      <c r="A67" s="2" t="s">
        <v>12</v>
      </c>
      <c r="B67" s="2" t="s">
        <v>1</v>
      </c>
      <c r="C67" s="2" t="s">
        <v>2</v>
      </c>
      <c r="D67" s="2" t="s">
        <v>3</v>
      </c>
      <c r="E67" s="2" t="s">
        <v>4</v>
      </c>
      <c r="F67" s="2" t="s">
        <v>16</v>
      </c>
    </row>
    <row r="68" spans="1:6">
      <c r="A68" s="2">
        <v>84</v>
      </c>
      <c r="B68" s="7">
        <f>(OptionGamma(B$13,$A68,B$14,B$16,$B$5,B$17,$B$6))*B$18</f>
        <v>1.1741770019823319E-4</v>
      </c>
      <c r="C68" s="7">
        <f t="shared" ref="C68:E68" si="6">(OptionGamma(C$13,$A68,C$14,C$16,$B$5,C$17,$B$6))*C$18</f>
        <v>0</v>
      </c>
      <c r="D68" s="7">
        <f t="shared" si="6"/>
        <v>0</v>
      </c>
      <c r="E68" s="7">
        <f t="shared" si="6"/>
        <v>0</v>
      </c>
      <c r="F68" s="7">
        <f>SUM(B68:E68)</f>
        <v>1.1741770019823319E-4</v>
      </c>
    </row>
    <row r="69" spans="1:6">
      <c r="A69" s="2">
        <v>86</v>
      </c>
      <c r="B69" s="7">
        <f t="shared" ref="B69:E85" si="7">(OptionGamma(B$13,$A69,B$14,B$16,$B$5,B$17,$B$6))*B$18</f>
        <v>6.4174349913066525E-4</v>
      </c>
      <c r="C69" s="7">
        <f t="shared" si="7"/>
        <v>0</v>
      </c>
      <c r="D69" s="7">
        <f t="shared" si="7"/>
        <v>0</v>
      </c>
      <c r="E69" s="7">
        <f t="shared" si="7"/>
        <v>0</v>
      </c>
      <c r="F69" s="7">
        <f t="shared" ref="F69:F85" si="8">SUM(B69:E69)</f>
        <v>6.4174349913066525E-4</v>
      </c>
    </row>
    <row r="70" spans="1:6">
      <c r="A70" s="2">
        <v>88</v>
      </c>
      <c r="B70" s="7">
        <f t="shared" si="7"/>
        <v>2.6428625653115807E-3</v>
      </c>
      <c r="C70" s="7">
        <f t="shared" si="7"/>
        <v>0</v>
      </c>
      <c r="D70" s="7">
        <f t="shared" si="7"/>
        <v>0</v>
      </c>
      <c r="E70" s="7">
        <f t="shared" si="7"/>
        <v>0</v>
      </c>
      <c r="F70" s="7">
        <f t="shared" si="8"/>
        <v>2.6428625653115807E-3</v>
      </c>
    </row>
    <row r="71" spans="1:6">
      <c r="A71" s="2">
        <v>90</v>
      </c>
      <c r="B71" s="7">
        <f t="shared" si="7"/>
        <v>8.3512683468367644E-3</v>
      </c>
      <c r="C71" s="7">
        <f t="shared" si="7"/>
        <v>0</v>
      </c>
      <c r="D71" s="7">
        <f t="shared" si="7"/>
        <v>0</v>
      </c>
      <c r="E71" s="7">
        <f t="shared" si="7"/>
        <v>0</v>
      </c>
      <c r="F71" s="7">
        <f t="shared" si="8"/>
        <v>8.3512683468367644E-3</v>
      </c>
    </row>
    <row r="72" spans="1:6">
      <c r="A72" s="2">
        <v>92</v>
      </c>
      <c r="B72" s="7">
        <f t="shared" si="7"/>
        <v>2.0589823325465401E-2</v>
      </c>
      <c r="C72" s="7">
        <f t="shared" si="7"/>
        <v>0</v>
      </c>
      <c r="D72" s="7">
        <f t="shared" si="7"/>
        <v>0</v>
      </c>
      <c r="E72" s="7">
        <f t="shared" si="7"/>
        <v>0</v>
      </c>
      <c r="F72" s="7">
        <f t="shared" si="8"/>
        <v>2.0589823325465401E-2</v>
      </c>
    </row>
    <row r="73" spans="1:6">
      <c r="A73" s="2">
        <v>94</v>
      </c>
      <c r="B73" s="7">
        <f t="shared" si="7"/>
        <v>4.0222655443318177E-2</v>
      </c>
      <c r="C73" s="7">
        <f t="shared" si="7"/>
        <v>0</v>
      </c>
      <c r="D73" s="7">
        <f t="shared" si="7"/>
        <v>0</v>
      </c>
      <c r="E73" s="7">
        <f t="shared" si="7"/>
        <v>0</v>
      </c>
      <c r="F73" s="7">
        <f t="shared" si="8"/>
        <v>4.0222655443318177E-2</v>
      </c>
    </row>
    <row r="74" spans="1:6">
      <c r="A74" s="2">
        <v>96</v>
      </c>
      <c r="B74" s="7">
        <f t="shared" si="7"/>
        <v>6.3152950671769889E-2</v>
      </c>
      <c r="C74" s="7">
        <f t="shared" si="7"/>
        <v>0</v>
      </c>
      <c r="D74" s="7">
        <f t="shared" si="7"/>
        <v>0</v>
      </c>
      <c r="E74" s="7">
        <f t="shared" si="7"/>
        <v>0</v>
      </c>
      <c r="F74" s="7">
        <f t="shared" si="8"/>
        <v>6.3152950671769889E-2</v>
      </c>
    </row>
    <row r="75" spans="1:6">
      <c r="A75" s="2">
        <v>98</v>
      </c>
      <c r="B75" s="7">
        <f t="shared" si="7"/>
        <v>8.0750766835671298E-2</v>
      </c>
      <c r="C75" s="7">
        <f t="shared" si="7"/>
        <v>0</v>
      </c>
      <c r="D75" s="7">
        <f t="shared" si="7"/>
        <v>0</v>
      </c>
      <c r="E75" s="7">
        <f t="shared" si="7"/>
        <v>0</v>
      </c>
      <c r="F75" s="7">
        <f t="shared" si="8"/>
        <v>8.0750766835671298E-2</v>
      </c>
    </row>
    <row r="76" spans="1:6">
      <c r="A76" s="2">
        <v>100</v>
      </c>
      <c r="B76" s="7">
        <f t="shared" si="7"/>
        <v>8.512077427491109E-2</v>
      </c>
      <c r="C76" s="7">
        <f t="shared" si="7"/>
        <v>0</v>
      </c>
      <c r="D76" s="7">
        <f t="shared" si="7"/>
        <v>0</v>
      </c>
      <c r="E76" s="7">
        <f t="shared" si="7"/>
        <v>0</v>
      </c>
      <c r="F76" s="7">
        <f t="shared" si="8"/>
        <v>8.512077427491109E-2</v>
      </c>
    </row>
    <row r="77" spans="1:6">
      <c r="A77" s="2">
        <v>102</v>
      </c>
      <c r="B77" s="7">
        <f t="shared" si="7"/>
        <v>7.4814222428364885E-2</v>
      </c>
      <c r="C77" s="7">
        <f t="shared" si="7"/>
        <v>0</v>
      </c>
      <c r="D77" s="7">
        <f t="shared" si="7"/>
        <v>0</v>
      </c>
      <c r="E77" s="7">
        <f t="shared" si="7"/>
        <v>0</v>
      </c>
      <c r="F77" s="7">
        <f t="shared" si="8"/>
        <v>7.4814222428364885E-2</v>
      </c>
    </row>
    <row r="78" spans="1:6">
      <c r="A78" s="2">
        <v>104</v>
      </c>
      <c r="B78" s="7">
        <f t="shared" si="7"/>
        <v>5.5407399116804687E-2</v>
      </c>
      <c r="C78" s="7">
        <f t="shared" si="7"/>
        <v>0</v>
      </c>
      <c r="D78" s="7">
        <f t="shared" si="7"/>
        <v>0</v>
      </c>
      <c r="E78" s="7">
        <f t="shared" si="7"/>
        <v>0</v>
      </c>
      <c r="F78" s="7">
        <f t="shared" si="8"/>
        <v>5.5407399116804687E-2</v>
      </c>
    </row>
    <row r="79" spans="1:6">
      <c r="A79" s="2">
        <v>106</v>
      </c>
      <c r="B79" s="7">
        <f t="shared" si="7"/>
        <v>3.4917506706651037E-2</v>
      </c>
      <c r="C79" s="7">
        <f t="shared" si="7"/>
        <v>0</v>
      </c>
      <c r="D79" s="7">
        <f t="shared" si="7"/>
        <v>0</v>
      </c>
      <c r="E79" s="7">
        <f t="shared" si="7"/>
        <v>0</v>
      </c>
      <c r="F79" s="7">
        <f t="shared" si="8"/>
        <v>3.4917506706651037E-2</v>
      </c>
    </row>
    <row r="80" spans="1:6">
      <c r="A80" s="2">
        <v>108</v>
      </c>
      <c r="B80" s="7">
        <f t="shared" si="7"/>
        <v>1.8896264214021057E-2</v>
      </c>
      <c r="C80" s="7">
        <f t="shared" si="7"/>
        <v>0</v>
      </c>
      <c r="D80" s="7">
        <f t="shared" si="7"/>
        <v>0</v>
      </c>
      <c r="E80" s="7">
        <f t="shared" si="7"/>
        <v>0</v>
      </c>
      <c r="F80" s="7">
        <f t="shared" si="8"/>
        <v>1.8896264214021057E-2</v>
      </c>
    </row>
    <row r="81" spans="1:6">
      <c r="A81" s="2">
        <v>110</v>
      </c>
      <c r="B81" s="7">
        <f t="shared" si="7"/>
        <v>8.8565414517314065E-3</v>
      </c>
      <c r="C81" s="7">
        <f t="shared" si="7"/>
        <v>0</v>
      </c>
      <c r="D81" s="7">
        <f t="shared" si="7"/>
        <v>0</v>
      </c>
      <c r="E81" s="7">
        <f t="shared" si="7"/>
        <v>0</v>
      </c>
      <c r="F81" s="7">
        <f t="shared" si="8"/>
        <v>8.8565414517314065E-3</v>
      </c>
    </row>
    <row r="82" spans="1:6">
      <c r="A82" s="2">
        <v>112</v>
      </c>
      <c r="B82" s="7">
        <f t="shared" si="7"/>
        <v>3.6237710099709694E-3</v>
      </c>
      <c r="C82" s="7">
        <f t="shared" si="7"/>
        <v>0</v>
      </c>
      <c r="D82" s="7">
        <f t="shared" si="7"/>
        <v>0</v>
      </c>
      <c r="E82" s="7">
        <f t="shared" si="7"/>
        <v>0</v>
      </c>
      <c r="F82" s="7">
        <f t="shared" si="8"/>
        <v>3.6237710099709694E-3</v>
      </c>
    </row>
    <row r="83" spans="1:6">
      <c r="A83" s="2">
        <v>114</v>
      </c>
      <c r="B83" s="7">
        <f t="shared" si="7"/>
        <v>1.3040464461629216E-3</v>
      </c>
      <c r="C83" s="7">
        <f t="shared" si="7"/>
        <v>0</v>
      </c>
      <c r="D83" s="7">
        <f t="shared" si="7"/>
        <v>0</v>
      </c>
      <c r="E83" s="7">
        <f t="shared" si="7"/>
        <v>0</v>
      </c>
      <c r="F83" s="7">
        <f t="shared" si="8"/>
        <v>1.3040464461629216E-3</v>
      </c>
    </row>
    <row r="84" spans="1:6">
      <c r="A84" s="2">
        <v>116</v>
      </c>
      <c r="B84" s="7">
        <f t="shared" si="7"/>
        <v>4.1560500531085569E-4</v>
      </c>
      <c r="C84" s="7">
        <f t="shared" si="7"/>
        <v>0</v>
      </c>
      <c r="D84" s="7">
        <f t="shared" si="7"/>
        <v>0</v>
      </c>
      <c r="E84" s="7">
        <f t="shared" si="7"/>
        <v>0</v>
      </c>
      <c r="F84" s="7">
        <f t="shared" si="8"/>
        <v>4.1560500531085569E-4</v>
      </c>
    </row>
    <row r="85" spans="1:6">
      <c r="A85" s="2">
        <v>118</v>
      </c>
      <c r="B85" s="7">
        <f t="shared" si="7"/>
        <v>1.1807339877770798E-4</v>
      </c>
      <c r="C85" s="7">
        <f t="shared" si="7"/>
        <v>0</v>
      </c>
      <c r="D85" s="7">
        <f t="shared" si="7"/>
        <v>0</v>
      </c>
      <c r="E85" s="7">
        <f t="shared" si="7"/>
        <v>0</v>
      </c>
      <c r="F85" s="7">
        <f t="shared" si="8"/>
        <v>1.1807339877770798E-4</v>
      </c>
    </row>
    <row r="86" spans="1:6">
      <c r="B86" s="7"/>
      <c r="C86" s="7"/>
      <c r="D86" s="7"/>
      <c r="E86" s="7"/>
      <c r="F86" s="7"/>
    </row>
    <row r="87" spans="1:6">
      <c r="B87" s="7"/>
      <c r="C87" s="7"/>
      <c r="D87" s="7"/>
      <c r="E87" s="7"/>
      <c r="F87" s="7"/>
    </row>
    <row r="88" spans="1:6" ht="22.5">
      <c r="A88" s="10" t="s">
        <v>20</v>
      </c>
    </row>
    <row r="89" spans="1:6">
      <c r="A89" s="2" t="s">
        <v>12</v>
      </c>
      <c r="B89" s="2" t="s">
        <v>1</v>
      </c>
      <c r="C89" s="2" t="s">
        <v>2</v>
      </c>
      <c r="D89" s="2" t="s">
        <v>3</v>
      </c>
      <c r="E89" s="2" t="s">
        <v>4</v>
      </c>
      <c r="F89" s="2" t="s">
        <v>16</v>
      </c>
    </row>
    <row r="90" spans="1:6">
      <c r="A90" s="2">
        <v>84</v>
      </c>
      <c r="B90" s="7">
        <f>(OptionTheta(B$13,$A90,B$14,B$16,$B$5,B$17,$B$6))*B$18</f>
        <v>-4.4860978448739945E-5</v>
      </c>
      <c r="C90" s="7">
        <f t="shared" ref="C90:E90" si="9">(OptionTheta(C$13,$A90,C$14,C$16,$B$5,C$17,$B$6))*C$18</f>
        <v>0</v>
      </c>
      <c r="D90" s="7">
        <f t="shared" si="9"/>
        <v>0</v>
      </c>
      <c r="E90" s="7">
        <f t="shared" si="9"/>
        <v>0</v>
      </c>
      <c r="F90" s="7">
        <f>SUM(B90:E90)</f>
        <v>-4.4860978448739945E-5</v>
      </c>
    </row>
    <row r="91" spans="1:6">
      <c r="A91" s="2">
        <v>86</v>
      </c>
      <c r="B91" s="7">
        <f t="shared" ref="B91:E107" si="10">(OptionTheta(B$13,$A91,B$14,B$16,$B$5,B$17,$B$6))*B$18</f>
        <v>-2.5658418816679342E-4</v>
      </c>
      <c r="C91" s="7">
        <f t="shared" si="10"/>
        <v>0</v>
      </c>
      <c r="D91" s="7">
        <f t="shared" si="10"/>
        <v>0</v>
      </c>
      <c r="E91" s="7">
        <f t="shared" si="10"/>
        <v>0</v>
      </c>
      <c r="F91" s="7">
        <f t="shared" ref="F91:F107" si="11">SUM(B91:E91)</f>
        <v>-2.5658418816679342E-4</v>
      </c>
    </row>
    <row r="92" spans="1:6">
      <c r="A92" s="2">
        <v>88</v>
      </c>
      <c r="B92" s="7">
        <f t="shared" si="10"/>
        <v>-1.1041371755545566E-3</v>
      </c>
      <c r="C92" s="7">
        <f t="shared" si="10"/>
        <v>0</v>
      </c>
      <c r="D92" s="7">
        <f t="shared" si="10"/>
        <v>0</v>
      </c>
      <c r="E92" s="7">
        <f t="shared" si="10"/>
        <v>0</v>
      </c>
      <c r="F92" s="7">
        <f t="shared" si="11"/>
        <v>-1.1041371755545566E-3</v>
      </c>
    </row>
    <row r="93" spans="1:6">
      <c r="A93" s="2">
        <v>90</v>
      </c>
      <c r="B93" s="7">
        <f t="shared" si="10"/>
        <v>-3.639767380899472E-3</v>
      </c>
      <c r="C93" s="7">
        <f t="shared" si="10"/>
        <v>0</v>
      </c>
      <c r="D93" s="7">
        <f t="shared" si="10"/>
        <v>0</v>
      </c>
      <c r="E93" s="7">
        <f t="shared" si="10"/>
        <v>0</v>
      </c>
      <c r="F93" s="7">
        <f t="shared" si="11"/>
        <v>-3.639767380899472E-3</v>
      </c>
    </row>
    <row r="94" spans="1:6">
      <c r="A94" s="2">
        <v>92</v>
      </c>
      <c r="B94" s="7">
        <f t="shared" si="10"/>
        <v>-9.3441646737295828E-3</v>
      </c>
      <c r="C94" s="7">
        <f t="shared" si="10"/>
        <v>0</v>
      </c>
      <c r="D94" s="7">
        <f t="shared" si="10"/>
        <v>0</v>
      </c>
      <c r="E94" s="7">
        <f t="shared" si="10"/>
        <v>0</v>
      </c>
      <c r="F94" s="7">
        <f t="shared" si="11"/>
        <v>-9.3441646737295828E-3</v>
      </c>
    </row>
    <row r="95" spans="1:6">
      <c r="A95" s="2">
        <v>94</v>
      </c>
      <c r="B95" s="7">
        <f t="shared" si="10"/>
        <v>-1.8964575459683213E-2</v>
      </c>
      <c r="C95" s="7">
        <f t="shared" si="10"/>
        <v>0</v>
      </c>
      <c r="D95" s="7">
        <f t="shared" si="10"/>
        <v>0</v>
      </c>
      <c r="E95" s="7">
        <f t="shared" si="10"/>
        <v>0</v>
      </c>
      <c r="F95" s="7">
        <f t="shared" si="11"/>
        <v>-1.8964575459683213E-2</v>
      </c>
    </row>
    <row r="96" spans="1:6">
      <c r="A96" s="2">
        <v>96</v>
      </c>
      <c r="B96" s="7">
        <f t="shared" si="10"/>
        <v>-3.0842576514075213E-2</v>
      </c>
      <c r="C96" s="7">
        <f t="shared" si="10"/>
        <v>0</v>
      </c>
      <c r="D96" s="7">
        <f t="shared" si="10"/>
        <v>0</v>
      </c>
      <c r="E96" s="7">
        <f t="shared" si="10"/>
        <v>0</v>
      </c>
      <c r="F96" s="7">
        <f t="shared" si="11"/>
        <v>-3.0842576514075213E-2</v>
      </c>
    </row>
    <row r="97" spans="1:6">
      <c r="A97" s="2">
        <v>98</v>
      </c>
      <c r="B97" s="7">
        <f t="shared" si="10"/>
        <v>-4.0671928264750745E-2</v>
      </c>
      <c r="C97" s="7">
        <f t="shared" si="10"/>
        <v>0</v>
      </c>
      <c r="D97" s="7">
        <f t="shared" si="10"/>
        <v>0</v>
      </c>
      <c r="E97" s="7">
        <f t="shared" si="10"/>
        <v>0</v>
      </c>
      <c r="F97" s="7">
        <f t="shared" si="11"/>
        <v>-4.0671928264750745E-2</v>
      </c>
    </row>
    <row r="98" spans="1:6">
      <c r="A98" s="2">
        <v>100</v>
      </c>
      <c r="B98" s="7">
        <f t="shared" si="10"/>
        <v>-4.3904794918149533E-2</v>
      </c>
      <c r="C98" s="7">
        <f t="shared" si="10"/>
        <v>0</v>
      </c>
      <c r="D98" s="7">
        <f t="shared" si="10"/>
        <v>0</v>
      </c>
      <c r="E98" s="7">
        <f t="shared" si="10"/>
        <v>0</v>
      </c>
      <c r="F98" s="7">
        <f t="shared" si="11"/>
        <v>-4.3904794918149533E-2</v>
      </c>
    </row>
    <row r="99" spans="1:6">
      <c r="A99" s="2">
        <v>102</v>
      </c>
      <c r="B99" s="7">
        <f t="shared" si="10"/>
        <v>-3.9016724177691205E-2</v>
      </c>
      <c r="C99" s="7">
        <f t="shared" si="10"/>
        <v>0</v>
      </c>
      <c r="D99" s="7">
        <f t="shared" si="10"/>
        <v>0</v>
      </c>
      <c r="E99" s="7">
        <f t="shared" si="10"/>
        <v>0</v>
      </c>
      <c r="F99" s="7">
        <f t="shared" si="11"/>
        <v>-3.9016724177691205E-2</v>
      </c>
    </row>
    <row r="100" spans="1:6">
      <c r="A100" s="2">
        <v>104</v>
      </c>
      <c r="B100" s="7">
        <f t="shared" si="10"/>
        <v>-2.8464786562047324E-2</v>
      </c>
      <c r="C100" s="7">
        <f t="shared" si="10"/>
        <v>0</v>
      </c>
      <c r="D100" s="7">
        <f t="shared" si="10"/>
        <v>0</v>
      </c>
      <c r="E100" s="7">
        <f t="shared" si="10"/>
        <v>0</v>
      </c>
      <c r="F100" s="7">
        <f t="shared" si="11"/>
        <v>-2.8464786562047324E-2</v>
      </c>
    </row>
    <row r="101" spans="1:6">
      <c r="A101" s="2">
        <v>106</v>
      </c>
      <c r="B101" s="7">
        <f t="shared" si="10"/>
        <v>-1.6607914886460622E-2</v>
      </c>
      <c r="C101" s="7">
        <f t="shared" si="10"/>
        <v>0</v>
      </c>
      <c r="D101" s="7">
        <f t="shared" si="10"/>
        <v>0</v>
      </c>
      <c r="E101" s="7">
        <f t="shared" si="10"/>
        <v>0</v>
      </c>
      <c r="F101" s="7">
        <f t="shared" si="11"/>
        <v>-1.6607914886460622E-2</v>
      </c>
    </row>
    <row r="102" spans="1:6">
      <c r="A102" s="2">
        <v>108</v>
      </c>
      <c r="B102" s="7">
        <f t="shared" si="10"/>
        <v>-6.8778097882341432E-3</v>
      </c>
      <c r="C102" s="7">
        <f t="shared" si="10"/>
        <v>0</v>
      </c>
      <c r="D102" s="7">
        <f t="shared" si="10"/>
        <v>0</v>
      </c>
      <c r="E102" s="7">
        <f t="shared" si="10"/>
        <v>0</v>
      </c>
      <c r="F102" s="7">
        <f t="shared" si="11"/>
        <v>-6.8778097882341432E-3</v>
      </c>
    </row>
    <row r="103" spans="1:6">
      <c r="A103" s="2">
        <v>110</v>
      </c>
      <c r="B103" s="7">
        <f t="shared" si="10"/>
        <v>-5.1286482450495934E-4</v>
      </c>
      <c r="C103" s="7">
        <f t="shared" si="10"/>
        <v>0</v>
      </c>
      <c r="D103" s="7">
        <f t="shared" si="10"/>
        <v>0</v>
      </c>
      <c r="E103" s="7">
        <f t="shared" si="10"/>
        <v>0</v>
      </c>
      <c r="F103" s="7">
        <f t="shared" si="11"/>
        <v>-5.1286482450495934E-4</v>
      </c>
    </row>
    <row r="104" spans="1:6">
      <c r="A104" s="2">
        <v>112</v>
      </c>
      <c r="B104" s="7">
        <f t="shared" si="10"/>
        <v>2.9402853036505972E-3</v>
      </c>
      <c r="C104" s="7">
        <f t="shared" si="10"/>
        <v>0</v>
      </c>
      <c r="D104" s="7">
        <f t="shared" si="10"/>
        <v>0</v>
      </c>
      <c r="E104" s="7">
        <f t="shared" si="10"/>
        <v>0</v>
      </c>
      <c r="F104" s="7">
        <f t="shared" si="11"/>
        <v>2.9402853036505972E-3</v>
      </c>
    </row>
    <row r="105" spans="1:6">
      <c r="A105" s="2">
        <v>114</v>
      </c>
      <c r="B105" s="7">
        <f t="shared" si="10"/>
        <v>4.5307875042056812E-3</v>
      </c>
      <c r="C105" s="7">
        <f t="shared" si="10"/>
        <v>0</v>
      </c>
      <c r="D105" s="7">
        <f t="shared" si="10"/>
        <v>0</v>
      </c>
      <c r="E105" s="7">
        <f t="shared" si="10"/>
        <v>0</v>
      </c>
      <c r="F105" s="7">
        <f t="shared" si="11"/>
        <v>4.5307875042056812E-3</v>
      </c>
    </row>
    <row r="106" spans="1:6">
      <c r="A106" s="2">
        <v>116</v>
      </c>
      <c r="B106" s="7">
        <f t="shared" si="10"/>
        <v>5.1628504238328786E-3</v>
      </c>
      <c r="C106" s="7">
        <f t="shared" si="10"/>
        <v>0</v>
      </c>
      <c r="D106" s="7">
        <f t="shared" si="10"/>
        <v>0</v>
      </c>
      <c r="E106" s="7">
        <f t="shared" si="10"/>
        <v>0</v>
      </c>
      <c r="F106" s="7">
        <f t="shared" si="11"/>
        <v>5.1628504238328786E-3</v>
      </c>
    </row>
    <row r="107" spans="1:6">
      <c r="A107" s="2">
        <v>118</v>
      </c>
      <c r="B107" s="7">
        <f t="shared" si="10"/>
        <v>5.3822509912316366E-3</v>
      </c>
      <c r="C107" s="7">
        <f t="shared" si="10"/>
        <v>0</v>
      </c>
      <c r="D107" s="7">
        <f t="shared" si="10"/>
        <v>0</v>
      </c>
      <c r="E107" s="7">
        <f t="shared" si="10"/>
        <v>0</v>
      </c>
      <c r="F107" s="7">
        <f t="shared" si="11"/>
        <v>5.3822509912316366E-3</v>
      </c>
    </row>
    <row r="110" spans="1:6" ht="22.5">
      <c r="A110" s="11" t="s">
        <v>21</v>
      </c>
    </row>
    <row r="111" spans="1:6">
      <c r="A111" s="2" t="s">
        <v>12</v>
      </c>
      <c r="B111" s="2" t="s">
        <v>1</v>
      </c>
      <c r="C111" s="2" t="s">
        <v>2</v>
      </c>
      <c r="D111" s="2" t="s">
        <v>3</v>
      </c>
      <c r="E111" s="2" t="s">
        <v>4</v>
      </c>
      <c r="F111" s="2" t="s">
        <v>16</v>
      </c>
    </row>
    <row r="112" spans="1:6">
      <c r="A112" s="2">
        <v>84</v>
      </c>
      <c r="B112" s="7">
        <f t="shared" ref="B112:E129" si="12">(OptionVega(B$13,$A112,B$14,B$16,$B$5,B$17,$B$6))*B$18</f>
        <v>9.0794443024518721E-5</v>
      </c>
      <c r="C112" s="7">
        <f t="shared" si="12"/>
        <v>0</v>
      </c>
      <c r="D112" s="7">
        <f t="shared" si="12"/>
        <v>0</v>
      </c>
      <c r="E112" s="7">
        <f t="shared" si="12"/>
        <v>0</v>
      </c>
      <c r="F112" s="7">
        <f>SUM(B112:E112)</f>
        <v>9.0794443024518721E-5</v>
      </c>
    </row>
    <row r="113" spans="1:6">
      <c r="A113" s="2">
        <v>86</v>
      </c>
      <c r="B113" s="7">
        <f t="shared" si="12"/>
        <v>5.2014629255566023E-4</v>
      </c>
      <c r="C113" s="7">
        <f t="shared" si="12"/>
        <v>0</v>
      </c>
      <c r="D113" s="7">
        <f t="shared" si="12"/>
        <v>0</v>
      </c>
      <c r="E113" s="7">
        <f t="shared" si="12"/>
        <v>0</v>
      </c>
      <c r="F113" s="7">
        <f t="shared" ref="F113:F129" si="13">SUM(B113:E113)</f>
        <v>5.2014629255566023E-4</v>
      </c>
    </row>
    <row r="114" spans="1:6">
      <c r="A114" s="2">
        <v>88</v>
      </c>
      <c r="B114" s="7">
        <f t="shared" si="12"/>
        <v>2.2428852280299049E-3</v>
      </c>
      <c r="C114" s="7">
        <f t="shared" si="12"/>
        <v>0</v>
      </c>
      <c r="D114" s="7">
        <f t="shared" si="12"/>
        <v>0</v>
      </c>
      <c r="E114" s="7">
        <f t="shared" si="12"/>
        <v>0</v>
      </c>
      <c r="F114" s="7">
        <f t="shared" si="13"/>
        <v>2.2428852280299049E-3</v>
      </c>
    </row>
    <row r="115" spans="1:6">
      <c r="A115" s="2">
        <v>90</v>
      </c>
      <c r="B115" s="7">
        <f t="shared" si="12"/>
        <v>7.4131806695208529E-3</v>
      </c>
      <c r="C115" s="7">
        <f t="shared" si="12"/>
        <v>0</v>
      </c>
      <c r="D115" s="7">
        <f t="shared" si="12"/>
        <v>0</v>
      </c>
      <c r="E115" s="7">
        <f t="shared" si="12"/>
        <v>0</v>
      </c>
      <c r="F115" s="7">
        <f t="shared" si="13"/>
        <v>7.4131806695208529E-3</v>
      </c>
    </row>
    <row r="116" spans="1:6">
      <c r="A116" s="2">
        <v>92</v>
      </c>
      <c r="B116" s="7">
        <f t="shared" si="12"/>
        <v>1.9098330370053606E-2</v>
      </c>
      <c r="C116" s="7">
        <f t="shared" si="12"/>
        <v>0</v>
      </c>
      <c r="D116" s="7">
        <f t="shared" si="12"/>
        <v>0</v>
      </c>
      <c r="E116" s="7">
        <f t="shared" si="12"/>
        <v>0</v>
      </c>
      <c r="F116" s="7">
        <f t="shared" si="13"/>
        <v>1.9098330370053606E-2</v>
      </c>
    </row>
    <row r="117" spans="1:6">
      <c r="A117" s="2">
        <v>94</v>
      </c>
      <c r="B117" s="7">
        <f t="shared" si="12"/>
        <v>3.8948754355853085E-2</v>
      </c>
      <c r="C117" s="7">
        <f t="shared" si="12"/>
        <v>0</v>
      </c>
      <c r="D117" s="7">
        <f t="shared" si="12"/>
        <v>0</v>
      </c>
      <c r="E117" s="7">
        <f t="shared" si="12"/>
        <v>0</v>
      </c>
      <c r="F117" s="7">
        <f t="shared" si="13"/>
        <v>3.8948754355853085E-2</v>
      </c>
    </row>
    <row r="118" spans="1:6">
      <c r="A118" s="2">
        <v>96</v>
      </c>
      <c r="B118" s="7">
        <f t="shared" si="12"/>
        <v>6.3782749960660953E-2</v>
      </c>
      <c r="C118" s="7">
        <f t="shared" si="12"/>
        <v>0</v>
      </c>
      <c r="D118" s="7">
        <f t="shared" si="12"/>
        <v>0</v>
      </c>
      <c r="E118" s="7">
        <f t="shared" si="12"/>
        <v>0</v>
      </c>
      <c r="F118" s="7">
        <f t="shared" si="13"/>
        <v>6.3782749960660953E-2</v>
      </c>
    </row>
    <row r="119" spans="1:6">
      <c r="A119" s="2">
        <v>98</v>
      </c>
      <c r="B119" s="7">
        <f t="shared" si="12"/>
        <v>8.4989629007099957E-2</v>
      </c>
      <c r="C119" s="7">
        <f t="shared" si="12"/>
        <v>0</v>
      </c>
      <c r="D119" s="7">
        <f t="shared" si="12"/>
        <v>0</v>
      </c>
      <c r="E119" s="7">
        <f t="shared" si="12"/>
        <v>0</v>
      </c>
      <c r="F119" s="7">
        <f t="shared" si="13"/>
        <v>8.4989629007099957E-2</v>
      </c>
    </row>
    <row r="120" spans="1:6">
      <c r="A120" s="2">
        <v>100</v>
      </c>
      <c r="B120" s="7">
        <f t="shared" si="12"/>
        <v>9.3283040301272421E-2</v>
      </c>
      <c r="C120" s="7">
        <f t="shared" si="12"/>
        <v>0</v>
      </c>
      <c r="D120" s="7">
        <f t="shared" si="12"/>
        <v>0</v>
      </c>
      <c r="E120" s="7">
        <f t="shared" si="12"/>
        <v>0</v>
      </c>
      <c r="F120" s="7">
        <f t="shared" si="13"/>
        <v>9.3283040301272421E-2</v>
      </c>
    </row>
    <row r="121" spans="1:6">
      <c r="A121" s="2">
        <v>102</v>
      </c>
      <c r="B121" s="7">
        <f t="shared" si="12"/>
        <v>8.5300511796680356E-2</v>
      </c>
      <c r="C121" s="7">
        <f t="shared" si="12"/>
        <v>0</v>
      </c>
      <c r="D121" s="7">
        <f t="shared" si="12"/>
        <v>0</v>
      </c>
      <c r="E121" s="7">
        <f t="shared" si="12"/>
        <v>0</v>
      </c>
      <c r="F121" s="7">
        <f t="shared" si="13"/>
        <v>8.5300511796680356E-2</v>
      </c>
    </row>
    <row r="122" spans="1:6">
      <c r="A122" s="2">
        <v>104</v>
      </c>
      <c r="B122" s="7">
        <f t="shared" si="12"/>
        <v>6.567522507916268E-2</v>
      </c>
      <c r="C122" s="7">
        <f t="shared" si="12"/>
        <v>0</v>
      </c>
      <c r="D122" s="7">
        <f t="shared" si="12"/>
        <v>0</v>
      </c>
      <c r="E122" s="7">
        <f t="shared" si="12"/>
        <v>0</v>
      </c>
      <c r="F122" s="7">
        <f t="shared" si="13"/>
        <v>6.567522507916268E-2</v>
      </c>
    </row>
    <row r="123" spans="1:6">
      <c r="A123" s="2">
        <v>106</v>
      </c>
      <c r="B123" s="7">
        <f t="shared" si="12"/>
        <v>4.2995408806129426E-2</v>
      </c>
      <c r="C123" s="7">
        <f t="shared" si="12"/>
        <v>0</v>
      </c>
      <c r="D123" s="7">
        <f t="shared" si="12"/>
        <v>0</v>
      </c>
      <c r="E123" s="7">
        <f t="shared" si="12"/>
        <v>0</v>
      </c>
      <c r="F123" s="7">
        <f t="shared" si="13"/>
        <v>4.2995408806129426E-2</v>
      </c>
    </row>
    <row r="124" spans="1:6">
      <c r="A124" s="2">
        <v>108</v>
      </c>
      <c r="B124" s="7">
        <f t="shared" si="12"/>
        <v>2.4154085018338812E-2</v>
      </c>
      <c r="C124" s="7">
        <f t="shared" si="12"/>
        <v>0</v>
      </c>
      <c r="D124" s="7">
        <f t="shared" si="12"/>
        <v>0</v>
      </c>
      <c r="E124" s="7">
        <f t="shared" si="12"/>
        <v>0</v>
      </c>
      <c r="F124" s="7">
        <f t="shared" si="13"/>
        <v>2.4154085018338812E-2</v>
      </c>
    </row>
    <row r="125" spans="1:6">
      <c r="A125" s="2">
        <v>110</v>
      </c>
      <c r="B125" s="7">
        <f t="shared" si="12"/>
        <v>1.1744016609967125E-2</v>
      </c>
      <c r="C125" s="7">
        <f t="shared" si="12"/>
        <v>0</v>
      </c>
      <c r="D125" s="7">
        <f t="shared" si="12"/>
        <v>0</v>
      </c>
      <c r="E125" s="7">
        <f t="shared" si="12"/>
        <v>0</v>
      </c>
      <c r="F125" s="7">
        <f t="shared" si="13"/>
        <v>1.1744016609967125E-2</v>
      </c>
    </row>
    <row r="126" spans="1:6">
      <c r="A126" s="2">
        <v>112</v>
      </c>
      <c r="B126" s="7">
        <f t="shared" si="12"/>
        <v>4.9815434026384492E-3</v>
      </c>
      <c r="C126" s="7">
        <f t="shared" si="12"/>
        <v>0</v>
      </c>
      <c r="D126" s="7">
        <f t="shared" si="12"/>
        <v>0</v>
      </c>
      <c r="E126" s="7">
        <f t="shared" si="12"/>
        <v>0</v>
      </c>
      <c r="F126" s="7">
        <f t="shared" si="13"/>
        <v>4.9815434026384492E-3</v>
      </c>
    </row>
    <row r="127" spans="1:6">
      <c r="A127" s="2">
        <v>114</v>
      </c>
      <c r="B127" s="7">
        <f t="shared" si="12"/>
        <v>1.8572479577351594E-3</v>
      </c>
      <c r="C127" s="7">
        <f t="shared" si="12"/>
        <v>0</v>
      </c>
      <c r="D127" s="7">
        <f t="shared" si="12"/>
        <v>0</v>
      </c>
      <c r="E127" s="7">
        <f t="shared" si="12"/>
        <v>0</v>
      </c>
      <c r="F127" s="7">
        <f t="shared" si="13"/>
        <v>1.8572479577351594E-3</v>
      </c>
    </row>
    <row r="128" spans="1:6">
      <c r="A128" s="2">
        <v>116</v>
      </c>
      <c r="B128" s="7">
        <f t="shared" si="12"/>
        <v>6.1286366591373957E-4</v>
      </c>
      <c r="C128" s="7">
        <f t="shared" si="12"/>
        <v>0</v>
      </c>
      <c r="D128" s="7">
        <f t="shared" si="12"/>
        <v>0</v>
      </c>
      <c r="E128" s="7">
        <f t="shared" si="12"/>
        <v>0</v>
      </c>
      <c r="F128" s="7">
        <f t="shared" si="13"/>
        <v>6.1286366591373957E-4</v>
      </c>
    </row>
    <row r="129" spans="1:6">
      <c r="A129" s="2">
        <v>118</v>
      </c>
      <c r="B129" s="7">
        <f t="shared" si="12"/>
        <v>1.8017030187186911E-4</v>
      </c>
      <c r="C129" s="7">
        <f t="shared" si="12"/>
        <v>0</v>
      </c>
      <c r="D129" s="7">
        <f t="shared" si="12"/>
        <v>0</v>
      </c>
      <c r="E129" s="7">
        <f t="shared" si="12"/>
        <v>0</v>
      </c>
      <c r="F129" s="7">
        <f t="shared" si="13"/>
        <v>1.8017030187186911E-4</v>
      </c>
    </row>
  </sheetData>
  <phoneticPr fontId="18" type="noConversion"/>
  <pageMargins left="0.7" right="0.7" top="0.75" bottom="0.75" header="0.3" footer="0.3"/>
  <pageSetup paperSize="9" orientation="portrait" verticalDpi="0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N18"/>
  <sheetViews>
    <sheetView workbookViewId="0">
      <selection activeCell="O11" sqref="O11"/>
    </sheetView>
  </sheetViews>
  <sheetFormatPr defaultRowHeight="13.5"/>
  <cols>
    <col min="1" max="1" width="22.75" customWidth="1"/>
    <col min="2" max="4" width="10.75" customWidth="1"/>
    <col min="5" max="5" width="12.75" bestFit="1" customWidth="1"/>
    <col min="6" max="6" width="12.75" customWidth="1"/>
    <col min="7" max="7" width="10.25" customWidth="1"/>
    <col min="9" max="9" width="10.75" customWidth="1"/>
    <col min="10" max="10" width="12.75" bestFit="1" customWidth="1"/>
    <col min="12" max="12" width="10.75" customWidth="1"/>
    <col min="13" max="13" width="14.375" customWidth="1"/>
    <col min="14" max="14" width="10" bestFit="1" customWidth="1"/>
  </cols>
  <sheetData>
    <row r="1" spans="1:14" ht="18">
      <c r="A1" s="16" t="s">
        <v>41</v>
      </c>
      <c r="B1" s="17" t="s">
        <v>34</v>
      </c>
      <c r="C1" s="18">
        <v>0.12</v>
      </c>
      <c r="D1" s="12"/>
      <c r="E1" s="12"/>
      <c r="F1" s="12"/>
      <c r="G1" s="12"/>
      <c r="H1" s="12"/>
      <c r="I1" s="12"/>
      <c r="J1" s="12"/>
      <c r="K1" s="12"/>
      <c r="L1" s="12"/>
    </row>
    <row r="2" spans="1:14" ht="18">
      <c r="A2" s="19" t="s">
        <v>35</v>
      </c>
      <c r="B2" s="20" t="s">
        <v>36</v>
      </c>
      <c r="C2" s="21">
        <v>0.02</v>
      </c>
      <c r="D2" s="12"/>
      <c r="E2" s="12"/>
      <c r="F2" s="12"/>
      <c r="G2" s="12"/>
      <c r="H2" s="12"/>
      <c r="I2" s="12"/>
      <c r="J2" s="12"/>
      <c r="K2" s="12"/>
      <c r="L2" s="12"/>
    </row>
    <row r="3" spans="1:14" ht="18">
      <c r="A3" s="19" t="s">
        <v>37</v>
      </c>
      <c r="B3" s="20" t="s">
        <v>38</v>
      </c>
      <c r="C3" s="21">
        <v>0</v>
      </c>
      <c r="D3" s="12"/>
      <c r="E3" s="12"/>
      <c r="F3" s="12"/>
      <c r="G3" s="12"/>
      <c r="H3" s="12"/>
      <c r="I3" s="12"/>
      <c r="J3" s="12"/>
      <c r="K3" s="12"/>
      <c r="L3" s="12"/>
    </row>
    <row r="4" spans="1:14" ht="18">
      <c r="A4" s="22" t="s">
        <v>39</v>
      </c>
      <c r="B4" s="23" t="s">
        <v>40</v>
      </c>
      <c r="C4" s="24">
        <v>100</v>
      </c>
      <c r="D4" s="12"/>
      <c r="E4" s="12"/>
      <c r="F4" s="12"/>
      <c r="G4" s="12"/>
      <c r="H4" s="12"/>
      <c r="I4" s="12"/>
      <c r="J4" s="12"/>
      <c r="K4" s="12"/>
      <c r="L4" s="12"/>
    </row>
    <row r="5" spans="1:14" ht="17.25">
      <c r="A5" s="12"/>
      <c r="B5" s="12"/>
      <c r="C5" s="12"/>
      <c r="D5" s="14"/>
      <c r="E5" s="14"/>
      <c r="F5" s="14"/>
      <c r="G5" s="12"/>
      <c r="H5" s="12"/>
      <c r="I5" s="12"/>
      <c r="J5" s="12"/>
      <c r="K5" s="12"/>
      <c r="L5" s="12"/>
    </row>
    <row r="6" spans="1:14" ht="17.25">
      <c r="A6" s="12" t="s">
        <v>28</v>
      </c>
      <c r="B6" s="12" t="s">
        <v>29</v>
      </c>
      <c r="C6" s="13" t="s">
        <v>27</v>
      </c>
      <c r="D6" s="13" t="s">
        <v>46</v>
      </c>
      <c r="E6" s="13" t="s">
        <v>47</v>
      </c>
      <c r="F6" s="12" t="s">
        <v>24</v>
      </c>
      <c r="G6" s="12" t="s">
        <v>25</v>
      </c>
      <c r="H6" s="12" t="s">
        <v>26</v>
      </c>
      <c r="I6" s="12" t="s">
        <v>31</v>
      </c>
      <c r="J6" s="12" t="s">
        <v>30</v>
      </c>
      <c r="K6" s="12" t="s">
        <v>32</v>
      </c>
      <c r="L6" s="12" t="s">
        <v>33</v>
      </c>
      <c r="M6" s="12" t="s">
        <v>50</v>
      </c>
      <c r="N6" s="12" t="s">
        <v>49</v>
      </c>
    </row>
    <row r="7" spans="1:14" ht="17.25">
      <c r="A7" s="12">
        <v>40</v>
      </c>
      <c r="B7" s="15">
        <f>A7/365</f>
        <v>0.1095890410958904</v>
      </c>
      <c r="C7" s="12">
        <v>100</v>
      </c>
      <c r="D7" s="15">
        <f t="shared" ref="D7:D12" si="0">OptionPrice("C",$C7,$C$4,$B7,$C$2,$C$1,$C$3) + OptionPrice("P",$C7,$C$4,$B7,$C$2,$C$1,$C$3)</f>
        <v>3.1707420087567755</v>
      </c>
      <c r="E7" s="15">
        <v>0</v>
      </c>
      <c r="F7" s="15">
        <f t="shared" ref="F7:F12" si="1">OptionDelta("C",$C7,$C$4,$B7,$C$2,$C$1,$C$3) + OptionDelta("P",$C7,$C$4,$B7,$C$2,$C$1,$C$3)</f>
        <v>5.9814143860881464E-2</v>
      </c>
      <c r="G7" s="15">
        <f t="shared" ref="G7:G12" si="2">OptionGamma("C",$C7,$C$4,$B7,$C$2,$C$1,$C$3) + OptionGamma("P",$C7,$C$4,$B7,$C$2,$C$1,$C$3)</f>
        <v>0.20028693343744283</v>
      </c>
      <c r="H7" s="15">
        <f t="shared" ref="H7:H12" si="3">OptionTheta("C",$C7,$C$4,$B7,$C$2,$C$1,$C$3) + OptionTheta("P",$C7,$C$4,$B7,$C$2,$C$1,$C$3)</f>
        <v>-3.9354645917669198E-2</v>
      </c>
      <c r="I7" s="15">
        <f t="shared" ref="I7:I12" si="4">-F7</f>
        <v>-5.9814143860881464E-2</v>
      </c>
      <c r="J7" s="12">
        <v>0</v>
      </c>
      <c r="K7" s="15">
        <f t="shared" ref="K7:K12" si="5">J7+E7</f>
        <v>0</v>
      </c>
      <c r="L7" s="15">
        <f>K7</f>
        <v>0</v>
      </c>
      <c r="M7" s="15">
        <v>0</v>
      </c>
      <c r="N7" s="15">
        <v>0</v>
      </c>
    </row>
    <row r="8" spans="1:14" ht="17.25">
      <c r="A8" s="12">
        <v>39</v>
      </c>
      <c r="B8" s="15">
        <f t="shared" ref="B8:B12" si="6">A8/365</f>
        <v>0.10684931506849316</v>
      </c>
      <c r="C8" s="12">
        <v>99.5</v>
      </c>
      <c r="D8" s="15">
        <f t="shared" si="0"/>
        <v>3.1267418750083067</v>
      </c>
      <c r="E8" s="15">
        <f>D8-D7</f>
        <v>-4.4000133748468784E-2</v>
      </c>
      <c r="F8" s="15">
        <f t="shared" si="1"/>
        <v>-4.2822521669018565E-2</v>
      </c>
      <c r="G8" s="15">
        <f t="shared" si="2"/>
        <v>0.20413796192423542</v>
      </c>
      <c r="H8" s="15">
        <f t="shared" si="3"/>
        <v>-4.0271432958664317E-2</v>
      </c>
      <c r="I8" s="15">
        <f t="shared" si="4"/>
        <v>4.2822521669018565E-2</v>
      </c>
      <c r="J8" s="15">
        <f>(C8-C7)*I7</f>
        <v>2.9907071930440732E-2</v>
      </c>
      <c r="K8" s="15">
        <f t="shared" si="5"/>
        <v>-1.4093061818028052E-2</v>
      </c>
      <c r="L8" s="15">
        <f>L7+K8</f>
        <v>-1.4093061818028052E-2</v>
      </c>
      <c r="M8" s="15">
        <f>H7+M7</f>
        <v>-3.9354645917669198E-2</v>
      </c>
      <c r="N8" s="15">
        <f>N7+表15[[#This Row],[对冲盈亏]]</f>
        <v>2.9907071930440732E-2</v>
      </c>
    </row>
    <row r="9" spans="1:14" ht="17.25">
      <c r="A9" s="12">
        <v>38</v>
      </c>
      <c r="B9" s="15">
        <f t="shared" si="6"/>
        <v>0.10410958904109589</v>
      </c>
      <c r="C9" s="12">
        <v>98</v>
      </c>
      <c r="D9" s="15">
        <f t="shared" si="0"/>
        <v>3.3835837911823425</v>
      </c>
      <c r="E9" s="15">
        <f t="shared" ref="E9:E12" si="7">D9-D8</f>
        <v>0.25684191617403584</v>
      </c>
      <c r="F9" s="15">
        <f t="shared" si="1"/>
        <v>-0.34630741771803208</v>
      </c>
      <c r="G9" s="15">
        <f t="shared" si="2"/>
        <v>0.19014318763908286</v>
      </c>
      <c r="H9" s="15">
        <f t="shared" si="3"/>
        <v>-3.8067417720461377E-2</v>
      </c>
      <c r="I9" s="15">
        <f t="shared" si="4"/>
        <v>0.34630741771803208</v>
      </c>
      <c r="J9" s="15">
        <f t="shared" ref="J9:J12" si="8">(C9-C8)*I8</f>
        <v>-6.4233782503527848E-2</v>
      </c>
      <c r="K9" s="15">
        <f t="shared" si="5"/>
        <v>0.192608133670508</v>
      </c>
      <c r="L9" s="15">
        <f t="shared" ref="L9:L12" si="9">L8+K9</f>
        <v>0.17851507185247995</v>
      </c>
      <c r="M9" s="15">
        <f t="shared" ref="M9:M12" si="10">H8+M8</f>
        <v>-7.9626078876333523E-2</v>
      </c>
      <c r="N9" s="15">
        <f>N8+表15[[#This Row],[对冲盈亏]]</f>
        <v>-3.4326710573087116E-2</v>
      </c>
    </row>
    <row r="10" spans="1:14" ht="17.25">
      <c r="A10" s="12">
        <v>37</v>
      </c>
      <c r="B10" s="15">
        <f t="shared" si="6"/>
        <v>0.10136986301369863</v>
      </c>
      <c r="C10" s="12">
        <v>99</v>
      </c>
      <c r="D10" s="15">
        <f t="shared" si="0"/>
        <v>3.0964631168010754</v>
      </c>
      <c r="E10" s="15">
        <f t="shared" si="7"/>
        <v>-0.28712067438126709</v>
      </c>
      <c r="F10" s="15">
        <f t="shared" si="1"/>
        <v>-0.15138542204655425</v>
      </c>
      <c r="G10" s="15">
        <f t="shared" si="2"/>
        <v>0.20713660843920759</v>
      </c>
      <c r="H10" s="15">
        <f t="shared" si="3"/>
        <v>-4.1037596912436844E-2</v>
      </c>
      <c r="I10" s="15">
        <f t="shared" si="4"/>
        <v>0.15138542204655425</v>
      </c>
      <c r="J10" s="15">
        <f t="shared" si="8"/>
        <v>0.34630741771803208</v>
      </c>
      <c r="K10" s="15">
        <f t="shared" si="5"/>
        <v>5.9186743336764991E-2</v>
      </c>
      <c r="L10" s="15">
        <f t="shared" si="9"/>
        <v>0.23770181518924494</v>
      </c>
      <c r="M10" s="15">
        <f t="shared" si="10"/>
        <v>-0.1176934965967949</v>
      </c>
      <c r="N10" s="15">
        <f>N9+表15[[#This Row],[对冲盈亏]]</f>
        <v>0.31198070714494497</v>
      </c>
    </row>
    <row r="11" spans="1:14" ht="17.25">
      <c r="A11" s="12">
        <v>36</v>
      </c>
      <c r="B11" s="15">
        <f t="shared" si="6"/>
        <v>9.8630136986301367E-2</v>
      </c>
      <c r="C11" s="12">
        <v>100.5</v>
      </c>
      <c r="D11" s="15">
        <f t="shared" si="0"/>
        <v>3.0625300831090811</v>
      </c>
      <c r="E11" s="15">
        <f t="shared" si="7"/>
        <v>-3.3933033691994297E-2</v>
      </c>
      <c r="F11" s="15">
        <f t="shared" si="1"/>
        <v>0.16127802499713728</v>
      </c>
      <c r="G11" s="15">
        <f t="shared" si="2"/>
        <v>0.20634448269097838</v>
      </c>
      <c r="H11" s="15">
        <f t="shared" si="3"/>
        <v>-4.0391298555547191E-2</v>
      </c>
      <c r="I11" s="15">
        <f t="shared" si="4"/>
        <v>-0.16127802499713728</v>
      </c>
      <c r="J11" s="15">
        <f t="shared" si="8"/>
        <v>0.22707813306983138</v>
      </c>
      <c r="K11" s="15">
        <f t="shared" si="5"/>
        <v>0.19314509937783708</v>
      </c>
      <c r="L11" s="15">
        <f t="shared" si="9"/>
        <v>0.43084691456708202</v>
      </c>
      <c r="M11" s="15">
        <f t="shared" si="10"/>
        <v>-0.15873109350923176</v>
      </c>
      <c r="N11" s="15">
        <f>N10+表15[[#This Row],[对冲盈亏]]</f>
        <v>0.53905884021477635</v>
      </c>
    </row>
    <row r="12" spans="1:14" ht="17.25">
      <c r="A12" s="12">
        <v>35</v>
      </c>
      <c r="B12" s="15">
        <f t="shared" si="6"/>
        <v>9.5890410958904104E-2</v>
      </c>
      <c r="C12" s="12">
        <v>100</v>
      </c>
      <c r="D12" s="15">
        <f t="shared" si="0"/>
        <v>2.9658247342257482</v>
      </c>
      <c r="E12" s="15">
        <f t="shared" si="7"/>
        <v>-9.6705348883332931E-2</v>
      </c>
      <c r="F12" s="15">
        <f t="shared" si="1"/>
        <v>5.5957567170609179E-2</v>
      </c>
      <c r="G12" s="15">
        <f t="shared" si="2"/>
        <v>0.21419109941872921</v>
      </c>
      <c r="H12" s="15">
        <f t="shared" si="3"/>
        <v>-4.2107289091758357E-2</v>
      </c>
      <c r="I12" s="15">
        <f t="shared" si="4"/>
        <v>-5.5957567170609179E-2</v>
      </c>
      <c r="J12" s="15">
        <f t="shared" si="8"/>
        <v>8.0639012498568641E-2</v>
      </c>
      <c r="K12" s="15">
        <f t="shared" si="5"/>
        <v>-1.606633638476429E-2</v>
      </c>
      <c r="L12" s="15">
        <f t="shared" si="9"/>
        <v>0.41478057818231773</v>
      </c>
      <c r="M12" s="15">
        <f t="shared" si="10"/>
        <v>-0.19912239206477894</v>
      </c>
      <c r="N12" s="15">
        <f>N11+表15[[#This Row],[对冲盈亏]]</f>
        <v>0.61969785271334499</v>
      </c>
    </row>
    <row r="14" spans="1:14">
      <c r="A14" t="s">
        <v>42</v>
      </c>
    </row>
    <row r="15" spans="1:14">
      <c r="A15" t="s">
        <v>43</v>
      </c>
    </row>
    <row r="16" spans="1:14">
      <c r="A16" t="s">
        <v>45</v>
      </c>
    </row>
    <row r="17" spans="1:1">
      <c r="A17" t="s">
        <v>44</v>
      </c>
    </row>
    <row r="18" spans="1:1">
      <c r="A18" t="s">
        <v>48</v>
      </c>
    </row>
  </sheetData>
  <phoneticPr fontId="18" type="noConversion"/>
  <pageMargins left="0.7" right="0.7" top="0.75" bottom="0.75" header="0.3" footer="0.3"/>
  <pageSetup paperSize="9" orientation="portrait" horizontalDpi="180" verticalDpi="18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期权分析表</vt:lpstr>
      <vt:lpstr>Gamma Scalping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Xiaoyou</dc:creator>
  <cp:lastModifiedBy>Administrator</cp:lastModifiedBy>
  <dcterms:created xsi:type="dcterms:W3CDTF">2016-01-11T02:33:29Z</dcterms:created>
  <dcterms:modified xsi:type="dcterms:W3CDTF">2016-10-15T03:09:44Z</dcterms:modified>
</cp:coreProperties>
</file>